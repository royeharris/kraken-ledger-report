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haricom-my.sharepoint.com/personal/roy_harris_haricom_co_uk/Documents/Alexander Scott/Bank statements sent/Kraken ledger download/"/>
    </mc:Choice>
  </mc:AlternateContent>
  <xr:revisionPtr revIDLastSave="2" documentId="8_{1482C9E2-3748-AF49-BD8C-3B2D54D6D59A}" xr6:coauthVersionLast="47" xr6:coauthVersionMax="47" xr10:uidLastSave="{4430EF37-24FC-B84D-9CAC-0F3359B2111C}"/>
  <bookViews>
    <workbookView xWindow="0" yWindow="540" windowWidth="22940" windowHeight="14360" activeTab="2" xr2:uid="{00000000-000D-0000-FFFF-FFFF00000000}"/>
  </bookViews>
  <sheets>
    <sheet name="Kraken" sheetId="9" r:id="rId1"/>
    <sheet name="Kraken Ledger" sheetId="11" r:id="rId2"/>
    <sheet name="Kraken Trades" sheetId="12" r:id="rId3"/>
    <sheet name="DEST TAGs" sheetId="13" r:id="rId4"/>
  </sheets>
  <definedNames>
    <definedName name="_xlnm._FilterDatabase" localSheetId="0" hidden="1">Kraken!$A$1:$X$68</definedName>
    <definedName name="_xlnm._FilterDatabase" localSheetId="1" hidden="1">'Kraken Ledger'!$A$2:$AC$2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" i="9" l="1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69" i="9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3" i="11"/>
  <c r="P72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B3" i="11"/>
  <c r="AA3" i="11"/>
  <c r="Z3" i="11"/>
  <c r="Y3" i="11"/>
  <c r="X3" i="11"/>
  <c r="W3" i="11"/>
  <c r="V3" i="11"/>
  <c r="U3" i="11"/>
  <c r="T3" i="11"/>
  <c r="S3" i="11"/>
  <c r="Q3" i="11"/>
  <c r="R3" i="11"/>
  <c r="P3" i="11"/>
  <c r="S64" i="9"/>
  <c r="S61" i="9"/>
  <c r="S53" i="9"/>
  <c r="S47" i="9"/>
  <c r="S44" i="9"/>
  <c r="S36" i="9"/>
  <c r="S32" i="9"/>
  <c r="N68" i="9"/>
  <c r="J68" i="9"/>
  <c r="Q60" i="9"/>
  <c r="Q67" i="9"/>
  <c r="Q56" i="9"/>
  <c r="Q50" i="9"/>
  <c r="Q43" i="9"/>
  <c r="Q40" i="9"/>
  <c r="Q37" i="9"/>
  <c r="O34" i="9"/>
  <c r="N33" i="9" l="1"/>
  <c r="N20" i="9"/>
  <c r="J33" i="9"/>
  <c r="Q29" i="9" l="1"/>
  <c r="S26" i="9"/>
  <c r="Q23" i="9" l="1"/>
  <c r="J20" i="9" l="1"/>
  <c r="S19" i="9"/>
  <c r="Q16" i="9"/>
  <c r="S12" i="9"/>
  <c r="Q9" i="9"/>
  <c r="O2" i="9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1" i="9" s="1"/>
  <c r="K2" i="9"/>
  <c r="K3" i="9" s="1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l="1"/>
  <c r="K21" i="9" s="1"/>
  <c r="K22" i="9" s="1"/>
  <c r="K23" i="9" s="1"/>
  <c r="K24" i="9" s="1"/>
  <c r="K25" i="9" s="1"/>
  <c r="K26" i="9" s="1"/>
  <c r="K27" i="9" s="1"/>
  <c r="K28" i="9" s="1"/>
  <c r="O22" i="9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K29" i="9" l="1"/>
  <c r="K30" i="9" s="1"/>
  <c r="K31" i="9" s="1"/>
  <c r="K32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l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royeharris</author>
  </authors>
  <commentList>
    <comment ref="F1" authorId="0" shapeId="0" xr:uid="{2E6B6363-60E9-410E-AA48-EF92E92CD8CD}">
      <text>
        <r>
          <rPr>
            <b/>
            <sz val="9"/>
            <color indexed="81"/>
            <rFont val="Tahoma"/>
            <family val="2"/>
          </rPr>
          <t>royeharris:</t>
        </r>
        <r>
          <rPr>
            <sz val="9"/>
            <color indexed="81"/>
            <rFont val="Tahoma"/>
            <family val="2"/>
          </rPr>
          <t xml:space="preserve">
Funding &gt; Recent transactions &gt; Withdrawal ID &gt;&gt; copy Transaction ID</t>
        </r>
      </text>
    </comment>
  </commentList>
</comments>
</file>

<file path=xl/sharedStrings.xml><?xml version="1.0" encoding="utf-8"?>
<sst xmlns="http://schemas.openxmlformats.org/spreadsheetml/2006/main" count="1915" uniqueCount="399">
  <si>
    <t>ü
c</t>
  </si>
  <si>
    <t>Date sent
to
acctnt</t>
  </si>
  <si>
    <t>Entry
Date</t>
  </si>
  <si>
    <t>XRP
address</t>
  </si>
  <si>
    <t>Desti-
nation
tag</t>
  </si>
  <si>
    <t>Tran-
action
ID</t>
  </si>
  <si>
    <t>Description</t>
  </si>
  <si>
    <t>Type</t>
  </si>
  <si>
    <t>Amount</t>
  </si>
  <si>
    <t>Fee</t>
  </si>
  <si>
    <t>Balance</t>
  </si>
  <si>
    <t>Asset</t>
  </si>
  <si>
    <t>Aleksey
Trofimov
GBP</t>
  </si>
  <si>
    <t>Evgeniy
Ulyukin
GBP</t>
  </si>
  <si>
    <t>Category</t>
  </si>
  <si>
    <t>#</t>
  </si>
  <si>
    <t>Payslip date</t>
  </si>
  <si>
    <t>Comment</t>
  </si>
  <si>
    <t>ü</t>
  </si>
  <si>
    <t>Transfer from Santander Business</t>
  </si>
  <si>
    <t>DEPOSIT</t>
  </si>
  <si>
    <t>GBP</t>
  </si>
  <si>
    <t>Deposit via payment processor Payward Ltd</t>
  </si>
  <si>
    <t>Convert GBP to XRP</t>
  </si>
  <si>
    <t>TRADE</t>
  </si>
  <si>
    <t>XRP</t>
  </si>
  <si>
    <t>x</t>
  </si>
  <si>
    <t>rEb8TK3gBgk5auZkwc6sHnwrGVJH8DuaLh</t>
  </si>
  <si>
    <t>https://xrpscan.com/tx/9FBD5122F4A1ABF20B0705C3447962E6F13C24D7B045494CD8DB71FA7DAD2B21</t>
  </si>
  <si>
    <t>Aleksey Trofimov</t>
  </si>
  <si>
    <t>WITHDRAW</t>
  </si>
  <si>
    <t>https://xrpscan.com/tx/9ED991B6FD966C3739300B4009C5CBCC786DF95B3E65C161ED78ABECD8BE2317</t>
  </si>
  <si>
    <t>https://xrpscan.com/tx/5A244C410691D52736EE42C6C070B03D25604A34EC222046B9D30E308913F5D7</t>
  </si>
  <si>
    <t>Consulting fee - Aleksey Trofimov</t>
  </si>
  <si>
    <t>https://xrpscan.com/tx/437FA042365ECE9CD8DD068C413D4FBFCB4B91DA8B64A0010B9FB501FD655CBC</t>
  </si>
  <si>
    <t>Evgeniy Ulyukin</t>
  </si>
  <si>
    <t>Consulting fee - Evgeniy Ulyukin</t>
  </si>
  <si>
    <t>https://xrpscan.com/tx/02EC21E0D411DE5EEE4A006C3CC2D95DE95B19E031D9C05D9AB49513036904F6</t>
  </si>
  <si>
    <t>https://xrpscan.com/tx/F25CE3B619F0778F769EFF5B5752B15F4375A349D504DD38D4313F5D97868E51</t>
  </si>
  <si>
    <t>Total Kraken fees for the month</t>
  </si>
  <si>
    <t>Bank charges</t>
  </si>
  <si>
    <t>https://xrpscan.com/tx/2194D82FB4E82F6B64F0232B2B78FADB9DC1A17FB95CC8F9DC91514C6D99EBF4</t>
  </si>
  <si>
    <t>https://xrpscan.com/tx/3123170F050322C06D94A1C32D2CD56DFDAD23EC6450162C70CDEA1B55B3694E</t>
  </si>
  <si>
    <t>https://xrpscan.com/tx/5AB9C1C3052B58C5870398B4A7EB68738C3EBBED79AE1A75722E9BE4A235D8A2</t>
  </si>
  <si>
    <t>https://xrpscan.com/tx/B5E50E80B9A6016B1B2BF2150C79149F511227851CDB9E974A8F6030CDBC0A74</t>
  </si>
  <si>
    <t>TBA</t>
  </si>
  <si>
    <t>https://xrpscan.com/tx/E42794DDF0B8CE3960322E6700460B93FB22424BC9A17811F101C4EB0C3C81E3</t>
  </si>
  <si>
    <t>https://xrpscan.com/tx/A94E9955466AD7ED93A9BCE196649FFB49B875F711A481181854B8D0642934DC</t>
  </si>
  <si>
    <t>https://xrpscan.com/tx/D5C73A3C04E7375AF18E917CC31A2068F1D4B2EE1778A250288923087EA48250</t>
  </si>
  <si>
    <t>https://xrpscan.com/tx/A31CC19EC91A33B093D5E9398A42C4E12FFBC8FFDBF8F30A2F96AE6C9E5AE890</t>
  </si>
  <si>
    <t>https://xrpscan.com/tx/0921F43F19B9E22CE791D4A5971638A4519E98A73E93C78FBB09A08C03356562</t>
  </si>
  <si>
    <t>https://xrpscan.com/tx/79A623618F79701B689496F06F28E3604FBB1EF2EAC8222D0DBAB4FCDEA11A73</t>
  </si>
  <si>
    <t>https://xrpscan.com/tx/D9B6075638926640A0EA9F1094F6FB2F5C56746A300B25E6389E67700795F9B0</t>
  </si>
  <si>
    <t>https://xrpscan.com/tx/C6B2E38C8960FF64DDA0B3827D1615E31234460A28055AC361123CE201741299</t>
  </si>
  <si>
    <t>https://xrpscan.com/tx/655A1BB8EDDDBB5612166F1CBE0839717AE30DF770B6A85C183277DA5C3A8259</t>
  </si>
  <si>
    <t>https://xrpscan.com/tx/01CD79A6370ED295F052D1429E4A90831A48B4F174CBD9A900058F28D27C9CAA</t>
  </si>
  <si>
    <t>Total Kraken fees 6 Dec 22 - 25 Mar 23</t>
  </si>
  <si>
    <t>https://bithomp.com/explorer/89DA6E0506E88DEFB02147D8E2E7C4E531A429CF2C0F17FBF6B4D4A4431648A3</t>
  </si>
  <si>
    <t>Alex Smirnov</t>
  </si>
  <si>
    <t>https://bithomp.com/explorer/183EDFFF6925D95DC65C5D0CB5D48F4EEC77B7304AD0D56DBAD0FE6A2082092F</t>
  </si>
  <si>
    <t>https://bithomp.com/explorer/8F2873BFE79F71897C41F309842C424029A574E5868A0731EEB8B760454C43C4</t>
  </si>
  <si>
    <t>https://bithomp.com/explorer/2B372258F7200F7B81D0C160CDB258C6FC22178C7DB0F9D84AC8334D16853A79</t>
  </si>
  <si>
    <t>https://bithomp.com/explorer/6CF6E9B042139AEAC3F03C58EA3F40D8F934935AD52F22AAC440D121986AC864</t>
  </si>
  <si>
    <t>https://bithomp.com/explorer/704889305D36DF433262F28E79CE91937CA569E011503C87AB0FC82BCCC2F4CA</t>
  </si>
  <si>
    <t>https://bithomp.com/explorer/A018CECE9725A49000646A608054148E517225135ACADBF13EF12CAC13D190CB</t>
  </si>
  <si>
    <t>https://bithomp.com/explorer/1E4EA2BDD8885081435589A48A5EAC3111EB2B240019EA56CF572EC1998460E3</t>
  </si>
  <si>
    <t>https://bithomp.com/explorer/59A4310F3F8B04267CB5F758B44C5125FD0A7BA4AC62AB2F867E8E42BFE26658</t>
  </si>
  <si>
    <t>https://bithomp.com/explorer/B3B9FB2CF3EA0679A0783E8292DFEA8278B62B746CADD2C957A2A2EB8DB715B2</t>
  </si>
  <si>
    <t>https://bithomp.com/explorer/864A7C15A8B6E91BF8A0F4E3140938FA2483A3B55B05B689DAB360360E4CF013</t>
  </si>
  <si>
    <t>https://bithomp.com/explorer/142156A29078CDA90AE38A2213CC8F3618C12E86F969E01EC8B9A0C5BF66C67F</t>
  </si>
  <si>
    <t>https://bithomp.com/explorer/84543023F5756539057370632A221623CC0B173525180A8DF07F519A899343FB</t>
  </si>
  <si>
    <t>Ivan Maltsev</t>
  </si>
  <si>
    <t>https://bithomp.com/explorer/9A3BA2CB1F3B911F07C18B4CE6B3937EF8DAB5D33857BF3C8C6343D2350227F9</t>
  </si>
  <si>
    <t>https://bithomp.com/explorer/5A2BF0005389C2969265FE30D41D0F74AD0D1032F12F3DFE00D4694FBF67128A</t>
  </si>
  <si>
    <t>https://bithomp.com/explorer/44A3820849D136E1E746B39EF858A0E5D7C658DDFF0D05C2A21930FD27A174EA</t>
  </si>
  <si>
    <t>https://bithomp.com/explorer/055FD2FF09C16BC95B3BDC0268582EB3BE2184615314C4C2D5081C36150577B4</t>
  </si>
  <si>
    <t>https://bithomp.com/explorer/33C343DAED3090AF40947D5750B8E1B37B06036C3BB2975FC078A7A57EB09335</t>
  </si>
  <si>
    <t>https://bithomp.com/explorer/EEF584E49FF4E944C471935F760DC932DD866073792F0DAF467D951D0E67B59F</t>
  </si>
  <si>
    <t>LOOKUP "Kraken Trades"</t>
  </si>
  <si>
    <t>SENT</t>
  </si>
  <si>
    <t>DONE</t>
  </si>
  <si>
    <t>TX ID</t>
  </si>
  <si>
    <t>DEST TAG</t>
  </si>
  <si>
    <t>WHO</t>
  </si>
  <si>
    <t>txid (filter out BLANK)</t>
  </si>
  <si>
    <t>refid (LOOKUP)</t>
  </si>
  <si>
    <t>time</t>
  </si>
  <si>
    <t>type</t>
  </si>
  <si>
    <t>subtype</t>
  </si>
  <si>
    <t>aclass</t>
  </si>
  <si>
    <t>asset</t>
  </si>
  <si>
    <t>amount</t>
  </si>
  <si>
    <t>fee</t>
  </si>
  <si>
    <t>balance</t>
  </si>
  <si>
    <t>txid</t>
  </si>
  <si>
    <t>ordertxid</t>
  </si>
  <si>
    <t>pair</t>
  </si>
  <si>
    <t>ordertype</t>
  </si>
  <si>
    <t>price</t>
  </si>
  <si>
    <t>cost</t>
  </si>
  <si>
    <t>vol</t>
  </si>
  <si>
    <t>margin</t>
  </si>
  <si>
    <t>misc</t>
  </si>
  <si>
    <t>ledgers</t>
  </si>
  <si>
    <t>yes</t>
  </si>
  <si>
    <t>QYP53GS-N2K7N6-UNC5Y7</t>
  </si>
  <si>
    <t>deposit</t>
  </si>
  <si>
    <t>currency</t>
  </si>
  <si>
    <t>ZGBP</t>
  </si>
  <si>
    <t>LBAYNS-MDQPF-FVYDWI</t>
  </si>
  <si>
    <t>LOC5M4-VGITG-62OW6U</t>
  </si>
  <si>
    <t>TVJHYS-EB5IK-4X5X33</t>
  </si>
  <si>
    <t>trade</t>
  </si>
  <si>
    <t>LS3HC5-BWXDY-DROKXS</t>
  </si>
  <si>
    <t>XXRP</t>
  </si>
  <si>
    <t>LJHWVK-UM23A-Z4NP7D</t>
  </si>
  <si>
    <t>KFEE</t>
  </si>
  <si>
    <t>AIBIVII-YHP3YE-IINMMX</t>
  </si>
  <si>
    <t>withdrawal</t>
  </si>
  <si>
    <t>LIOUAB-5S2L2-EITVBQ</t>
  </si>
  <si>
    <t>AIBLWOI-K6V4V3-O252VX</t>
  </si>
  <si>
    <t>LT5VFU-GHMIT-5YX3OJ</t>
  </si>
  <si>
    <t>QYPDDSZ-2NWCKK-7SQZGB</t>
  </si>
  <si>
    <t>LC64M5-IU4N2-I6GYRU</t>
  </si>
  <si>
    <t>LAQ6TD-TG2HT-I27ECB</t>
  </si>
  <si>
    <t>TONPXD-KPDZU-5WAK7C</t>
  </si>
  <si>
    <t>LJGS5J-JIVT5-2JPEC4</t>
  </si>
  <si>
    <t>L7GPCS-DXW2B-NSUS3D</t>
  </si>
  <si>
    <t>AIB5IWF-EUNVU3-TGM5OZ</t>
  </si>
  <si>
    <t>LHORHY-JQ5AH-KIOIAE</t>
  </si>
  <si>
    <t>QYPHCEQ-52QCIX-MFW6DR</t>
  </si>
  <si>
    <t>LO7JZE-IQ7D6-HDBDJV</t>
  </si>
  <si>
    <t>LQ5Y6F-GXLDN-OQIMCY</t>
  </si>
  <si>
    <t>TFUFLH-JICVN-QIRXBC</t>
  </si>
  <si>
    <t>LQENTR-CXN3S-V2AFUZ</t>
  </si>
  <si>
    <t>L2AZFP-MHOGI-Z6IC76</t>
  </si>
  <si>
    <t>AIBR3RN-RCA564-DEIYYX</t>
  </si>
  <si>
    <t>LB3VDZ-3XU4V-F5JKI3</t>
  </si>
  <si>
    <t>QYPVSFN-YLYON6-TG7CCM</t>
  </si>
  <si>
    <t>LOE2FQ-X6PEM-AQH2PB</t>
  </si>
  <si>
    <t>LNTCL3-MS5IQ-JHFPLF</t>
  </si>
  <si>
    <t>TS6ESC-QJCTE-7REB62</t>
  </si>
  <si>
    <t>LKUCJL-B6QP6-HVTZSZ</t>
  </si>
  <si>
    <t>L7JNEK-NXJOR-PGHOYD</t>
  </si>
  <si>
    <t>AIBFEVW-VQSPR2-XZQSSP</t>
  </si>
  <si>
    <t>LPQTWZ-2JQVI-SCLWMP</t>
  </si>
  <si>
    <t>QYPBDDK-QJQ5AO-UIAHOE</t>
  </si>
  <si>
    <t>LJDRTG-VVQ57-QCRY3G</t>
  </si>
  <si>
    <t>LP4NHA-4C2MD-2TNAQM</t>
  </si>
  <si>
    <t>T2M2QR-PKI5J-Y5JL6X</t>
  </si>
  <si>
    <t>LWHU3C-IQK4G-3GOKIF</t>
  </si>
  <si>
    <t>LZGQC7-CBHKO-BKBP4U</t>
  </si>
  <si>
    <t>AIBAXRI-XIDZXI-VHVAML</t>
  </si>
  <si>
    <t>LSYTBL-JAZYT-FCGPI5</t>
  </si>
  <si>
    <t>QYP5N2O-NUWNOF-TPFQUO</t>
  </si>
  <si>
    <t>L57AY5-KBEDW-ASROC6</t>
  </si>
  <si>
    <t>LQG5LY-EWTI6-RSHFAR</t>
  </si>
  <si>
    <t>TWTDYI-ASIKO-VCFX6I</t>
  </si>
  <si>
    <t>LPEDUI-QCVOM-6NRCON</t>
  </si>
  <si>
    <t>LRNHWZ-57VHX-HWWRUW</t>
  </si>
  <si>
    <t>AIBC2MA-37RPHW-GIAWXM</t>
  </si>
  <si>
    <t>L6CQJL-6WC7R-HFAEGK</t>
  </si>
  <si>
    <t>TC3PHC-GCMVA-E6STJY</t>
  </si>
  <si>
    <t>LWLOFX-MMUGN-TTVA5O</t>
  </si>
  <si>
    <t>LVPZY3-Q45Q7-LMRC3C</t>
  </si>
  <si>
    <t>LOTO4K-2SA36-26QNON</t>
  </si>
  <si>
    <t>AIBDOTP-KYL6H4-OQKQUY</t>
  </si>
  <si>
    <t>LRVDN3-JGHXS-KBPY44</t>
  </si>
  <si>
    <t>QYPL44W-HZSE2I-FTE6ZH</t>
  </si>
  <si>
    <t>LTQODH-YQW3U-JDR6XB</t>
  </si>
  <si>
    <t>LKTWBH-PHKLE-CC24C2</t>
  </si>
  <si>
    <t>TVEO4I-KY7HQ-QBBWUM</t>
  </si>
  <si>
    <t>LJDYPI-R6LH7-E2EA6H</t>
  </si>
  <si>
    <t>L6SMP6-NDAWR-2UIRQZ</t>
  </si>
  <si>
    <t>AIBHZOD-I7PFAV-4SY3IO</t>
  </si>
  <si>
    <t>LAXSRN-QWV4Z-NSURDN</t>
  </si>
  <si>
    <t>QYP2WRH-UELOAR-4AKP24</t>
  </si>
  <si>
    <t>LPB43Z-X5Y2P-IZTPWC</t>
  </si>
  <si>
    <t>LBOVA7-4FOSU-VDWKFU</t>
  </si>
  <si>
    <t>TDGV6W-7Q63J-E4QJW6</t>
  </si>
  <si>
    <t>LU2EIK-LAETH-JD4F56</t>
  </si>
  <si>
    <t>L6W2JN-Z6XBJ-36ZUNE</t>
  </si>
  <si>
    <t>AIB3USJ-Q3YFJY-K6Y6SG</t>
  </si>
  <si>
    <t>LH7VVX-R2E6V-GY5BUB</t>
  </si>
  <si>
    <t>QYP75F5-7D6LWD-ZDWEUH</t>
  </si>
  <si>
    <t>LYXK6H-OS7NU-UQ3EFX</t>
  </si>
  <si>
    <t>LCCMR6-CUGBS-OVGXI6</t>
  </si>
  <si>
    <t>T2SYNS-QPPLR-RWCR6N</t>
  </si>
  <si>
    <t>LZCKOU-6WH7Y-OAOCFE</t>
  </si>
  <si>
    <t>LR74IH-UWJYR-KCPT4I</t>
  </si>
  <si>
    <t>AIBPXHS-TSESUY-HV7VQM</t>
  </si>
  <si>
    <t>LQDQTC-NRO35-7XLSNS</t>
  </si>
  <si>
    <t>QYPZJCI-NGXRPJ-YY5I73</t>
  </si>
  <si>
    <t>LKXLOW-4MTVZ-NQ47LP</t>
  </si>
  <si>
    <t>L4UFCK-RHGHP-4I25WP</t>
  </si>
  <si>
    <t>TYKAIB-CIGAO-B5OBU6</t>
  </si>
  <si>
    <t>LXNJSC-GVZ6M-MTAFRA</t>
  </si>
  <si>
    <t>LIGGLP-ATT37-DVOVHS</t>
  </si>
  <si>
    <t>AIB62NF-ZLE33W-OVK7MF</t>
  </si>
  <si>
    <t>LUYDL4-3IESW-3NOXWF</t>
  </si>
  <si>
    <t>LWSASC-3X4CP-OD5E5A</t>
  </si>
  <si>
    <t>TABUT2-6TCYQ-U2OQ3G</t>
  </si>
  <si>
    <t>LET3FK-M2Y2E-OFAZFN</t>
  </si>
  <si>
    <t>LSRT4P-ZF56G-DOKHCB</t>
  </si>
  <si>
    <t>AIBAO6K-JP5OE5-AHUHE7</t>
  </si>
  <si>
    <t>LYVFXF-SZJYQ-US4RFL</t>
  </si>
  <si>
    <t>QYP53N2-OBD4GP-74M5B2</t>
  </si>
  <si>
    <t>LEJUTJ-AL7CJ-3HGV6A</t>
  </si>
  <si>
    <t>LYQPUH-I32RR-YE44I3</t>
  </si>
  <si>
    <t>T7CJOI-B2NNA-2XOZVX</t>
  </si>
  <si>
    <t>L6574Z-POCSK-2F2GNE</t>
  </si>
  <si>
    <t>LOHSU5-BSLCE-ZQLVUP</t>
  </si>
  <si>
    <t>AIBSN7X-X3SUAT-BEXDZF</t>
  </si>
  <si>
    <t>LCM3SC-IITEQ-LN5XXH</t>
  </si>
  <si>
    <t>LS3LWD-WUVCK-VNJFVN</t>
  </si>
  <si>
    <t>TV2CUE-4ALGJ-DLH5SJ</t>
  </si>
  <si>
    <t>LH4Q2I-JSAQ4-7ME3PF</t>
  </si>
  <si>
    <t>LLMMB3-QKWQR-UXWHAT</t>
  </si>
  <si>
    <t>AIBJP5F-GBOJO3-3NXNL2</t>
  </si>
  <si>
    <t>LPFMZW-EERWF-MFAIVE</t>
  </si>
  <si>
    <t>QYPHWHX-IOFHMF-IMEWSP</t>
  </si>
  <si>
    <t>LX6CSO-DWG2P-6FM2FV</t>
  </si>
  <si>
    <t>LMRL7X-JMOJX-OKACJ4</t>
  </si>
  <si>
    <t>T63DO7-M3A2C-PSS3NQ</t>
  </si>
  <si>
    <t>LB4MAJ-LLAHT-NJFAVY</t>
  </si>
  <si>
    <t>L6AGHL-WO5W6-S3TVAM</t>
  </si>
  <si>
    <t>AIBFVKJ-X6OQQZ-QM5FLL</t>
  </si>
  <si>
    <t>LYSDLD-2VH64-S33RRK</t>
  </si>
  <si>
    <t>LTRCGC-FBIEW-BT4KRV</t>
  </si>
  <si>
    <t>TCKMXY-WBDMT-KV7WIM</t>
  </si>
  <si>
    <t>LOJBPZ-Y56PH-JIQXYT</t>
  </si>
  <si>
    <t>LAFT3F-34O4Y-3Z6DR6</t>
  </si>
  <si>
    <t>AIB4MBT-NCSVJL-NQ75CM</t>
  </si>
  <si>
    <t>LSR4RR-Q3BKI-JOGGMR</t>
  </si>
  <si>
    <t>QYPUTGY-YN3K4J-NBQL24</t>
  </si>
  <si>
    <t>LWBBBO-XFEVI-2H3IHL</t>
  </si>
  <si>
    <t>LEMWMH-4ZUQV-AIGEHQ</t>
  </si>
  <si>
    <t>TYRVE2-Z3OBY-5FCYQY</t>
  </si>
  <si>
    <t>L7ZYTN-RH3DV-AX77WC</t>
  </si>
  <si>
    <t>LQSRFB-Q6LAE-MWPGR3</t>
  </si>
  <si>
    <t>AIBIL5K-PHUC2A-3RPW3T</t>
  </si>
  <si>
    <t>LRUFDL-ETAQ7-I24ZQD</t>
  </si>
  <si>
    <t>QYPJDK6-GTGL3B-DHMOGD</t>
  </si>
  <si>
    <t>LMWERH-BD4J7-4D46XF</t>
  </si>
  <si>
    <t>LLPN6G-VHP36-Q64GZD</t>
  </si>
  <si>
    <t>TON7HH-6E3WM-6ZEO47</t>
  </si>
  <si>
    <t>LTZEDC-WI4WD-Y3ZB2I</t>
  </si>
  <si>
    <t>LG3U5T-AJZ2S-NO6NVI</t>
  </si>
  <si>
    <t>AIBPPXW-YQQKXX-6Y4QOW</t>
  </si>
  <si>
    <t>L5F2EG-NBBN6-XQWL53</t>
  </si>
  <si>
    <t>QYPZFCX-XZ2MOJ-BP423K</t>
  </si>
  <si>
    <t>LDAD63-6R4JM-U6TYYN</t>
  </si>
  <si>
    <t>LT67JQ-UMNPH-4HLFEU</t>
  </si>
  <si>
    <t>TWZOA7-ZN23E-NDIKVX</t>
  </si>
  <si>
    <t>LZ62TJ-PCHQN-MIZFLV</t>
  </si>
  <si>
    <t>LHHQUZ-NOHGH-4J5U3B</t>
  </si>
  <si>
    <t>AIBVXBC-XJU7IG-7XKJC7</t>
  </si>
  <si>
    <t>LNIXA4-7CLBK-U7YVFT</t>
  </si>
  <si>
    <t>QYPQLD2-BBCKQV-ZYVXN7</t>
  </si>
  <si>
    <t>LXTZX3-IK2SB-KMHYK7</t>
  </si>
  <si>
    <t>LNEC6I-6CRF6-762MEZ</t>
  </si>
  <si>
    <t>TA24UD-GTEBY-5LQGOT</t>
  </si>
  <si>
    <t>LFGGGM-2EAAM-JNGFS5</t>
  </si>
  <si>
    <t>LJJ6JA-635BQ-2TWLEN</t>
  </si>
  <si>
    <t>AIBI4UQ-FFIOYE-G2ERZY</t>
  </si>
  <si>
    <t>LW6L6M-IUT6A-S3FO6A</t>
  </si>
  <si>
    <t>QYPLMNS-4VHY7G-5KUAIZ</t>
  </si>
  <si>
    <t>LLNILY-JBUEL-QGLOAH</t>
  </si>
  <si>
    <t>L7S27Q-OJCDZ-EQ7LPQ</t>
  </si>
  <si>
    <t>TANZHG-VLCY5-EISTFX</t>
  </si>
  <si>
    <t>L4DTH7-WAHUN-LNCCGJ</t>
  </si>
  <si>
    <t>LLERVV-7Y6UD-CQIDJJ</t>
  </si>
  <si>
    <t>AIBHXOS-X7HHCK-CBEFAD</t>
  </si>
  <si>
    <t>LD7FWI-6SIMV-A727ZL</t>
  </si>
  <si>
    <t>LXININ-EXHQQ-XYB7JF</t>
  </si>
  <si>
    <t>T5WPBO-KCO5M-MSXTI4</t>
  </si>
  <si>
    <t>LP2P5R-UUIEZ-RYL3OJ</t>
  </si>
  <si>
    <t>LK67QU-KMT6P-HS22G3</t>
  </si>
  <si>
    <t>AIBBZEC-4AX6YS-CZ3A7R</t>
  </si>
  <si>
    <t>LJXUZB-DIF75-J5WP5D</t>
  </si>
  <si>
    <t>QYPIYLT-AG6ESB-HNMC72</t>
  </si>
  <si>
    <t>LANV65-6MAV2-7BJYAH</t>
  </si>
  <si>
    <t>LWR65G-AZKQL-2ZI2FS</t>
  </si>
  <si>
    <t>T73URZ-WCR7O-KNRSSV</t>
  </si>
  <si>
    <t>LE3IRU-L5DT3-Z7WAUM</t>
  </si>
  <si>
    <t>LO53W2-FKVRJ-GGDHM2</t>
  </si>
  <si>
    <t>AIBFJPB-65NIRM-5MBS4Y</t>
  </si>
  <si>
    <t>LCOGM2-IXXKS-HYDQTW</t>
  </si>
  <si>
    <t>QYP7ZST-OM5CWL-NCATVL</t>
  </si>
  <si>
    <t>LIJCF7-T47X7-LNLHMB</t>
  </si>
  <si>
    <t>LVBF3Z-4GOWR-YMRUTA</t>
  </si>
  <si>
    <t>TTT62Y-WCEOA-HNUNF7</t>
  </si>
  <si>
    <t>LQTKDD-II7GJ-HAKJ3I</t>
  </si>
  <si>
    <t>LUUEKH-L2ELB-2DDEFN</t>
  </si>
  <si>
    <t>AIBMUU6-7EM2PK-7JHD33</t>
  </si>
  <si>
    <t>LRZRW3-ZSYSA-3GJFAB</t>
  </si>
  <si>
    <t>QYPQJLM-UG7EPO-VR3AP3</t>
  </si>
  <si>
    <t>L62SPR-FBUTH-A547KT</t>
  </si>
  <si>
    <t>LDNKIC-KFQAT-ZGC2EB</t>
  </si>
  <si>
    <t>TS34QGG-PNG6P-TULEMA</t>
  </si>
  <si>
    <t>spend</t>
  </si>
  <si>
    <t>LE6NAP-34B2L-4FB4YK</t>
  </si>
  <si>
    <t>receive</t>
  </si>
  <si>
    <t>AIBIJ3X-R6GSTS-56DNQP</t>
  </si>
  <si>
    <t>LYBD72-BQ55R-OJMTVF</t>
  </si>
  <si>
    <t>QYPMYPG-XAVOK5-4RBQ67</t>
  </si>
  <si>
    <t>14/06/2023 10:45</t>
  </si>
  <si>
    <t>LFMGL3-3MCWB-6HNKQ5</t>
  </si>
  <si>
    <t>14/06/2023 13:02</t>
  </si>
  <si>
    <t>LSWL2G-VITTT-FGX3GF</t>
  </si>
  <si>
    <t>T7NWFA-M4VMT-77KQIS</t>
  </si>
  <si>
    <t>14/06/2023 14:50</t>
  </si>
  <si>
    <t>L5G4RH-GZ6GJ-YCPOHN</t>
  </si>
  <si>
    <t>LPH4H4-HMTLA-FD22R2</t>
  </si>
  <si>
    <t>AIBVVOR-SN2MWX-5CN5AL</t>
  </si>
  <si>
    <t>14/06/2023 14:52</t>
  </si>
  <si>
    <t>L4467V-TQ2UA-LQXRZC</t>
  </si>
  <si>
    <t>14/06/2023 14:53</t>
  </si>
  <si>
    <t>QYPKESJ-5DN64D-C57IHX</t>
  </si>
  <si>
    <t>22/06/2023 16:05</t>
  </si>
  <si>
    <t>LJ67KC-J4K43-OXZSKQ</t>
  </si>
  <si>
    <t>22/06/2023 16:43</t>
  </si>
  <si>
    <t>LUBSV2-WX7AI-AUSBJA</t>
  </si>
  <si>
    <t>TJIBQF-TM45I-A6J5AF</t>
  </si>
  <si>
    <t>22/06/2023 16:53</t>
  </si>
  <si>
    <t>LDFM5J-SBSXL-PYALZ4</t>
  </si>
  <si>
    <t>LLNSCU-V5OHG-EO7O3S</t>
  </si>
  <si>
    <t>AIBKVQQ-7M3VBQ-5GDAF6</t>
  </si>
  <si>
    <t>22/06/2023 16:54</t>
  </si>
  <si>
    <t>LB4NSL-5MSTV-3YMWD3</t>
  </si>
  <si>
    <t>22/06/2023 16:56</t>
  </si>
  <si>
    <t>LOUUK5-XAOKU-VYIOQN</t>
  </si>
  <si>
    <t>TWKZY3-4OKNO-MWV523</t>
  </si>
  <si>
    <t>22/06/2023 17:27</t>
  </si>
  <si>
    <t>LBTWTL-SDRTI-CCBGAN</t>
  </si>
  <si>
    <t>LQGCOP-MDJCB-5FVDPW</t>
  </si>
  <si>
    <t>AIBTATL-EGR4KI-PQJOSP</t>
  </si>
  <si>
    <t>22/06/2023 17:28</t>
  </si>
  <si>
    <t>L7IGLL-AYBI2-YHU7NA</t>
  </si>
  <si>
    <t>22/06/2023 17:29</t>
  </si>
  <si>
    <t>OX3DXP-OFPAQ-NWPXZK</t>
  </si>
  <si>
    <t>XRPGBP</t>
  </si>
  <si>
    <t>buy</t>
  </si>
  <si>
    <t>market</t>
  </si>
  <si>
    <t>initiated</t>
  </si>
  <si>
    <t>LJHWVK-UM23A-Z4NP7D,LS3HC5-BWXDY-DROKXS,LOC5M4-VGITG-62OW6U</t>
  </si>
  <si>
    <t>OA5AQQ-YBGEA-2YGS2M</t>
  </si>
  <si>
    <t>L7GPCS-DXW2B-NSUS3D,LJGS5J-JIVT5-2JPEC4,LAQ6TD-TG2HT-I27ECB</t>
  </si>
  <si>
    <t>ON4G3V-EWYBS-PENEAQ</t>
  </si>
  <si>
    <t>L2AZFP-MHOGI-Z6IC76,LQENTR-CXN3S-V2AFUZ,LQ5Y6F-GXLDN-OQIMCY</t>
  </si>
  <si>
    <t>OVMH6P-VMU7P-E44AOJ</t>
  </si>
  <si>
    <t>L7JNEK-NXJOR-PGHOYD,LKUCJL-B6QP6-HVTZSZ,LNTCL3-MS5IQ-JHFPLF</t>
  </si>
  <si>
    <t>OZ72GI-QOAPH-LJIKPV</t>
  </si>
  <si>
    <t>LZGQC7-CBHKO-BKBP4U,LWHU3C-IQK4G-3GOKIF,LP4NHA-4C2MD-2TNAQM</t>
  </si>
  <si>
    <t>ORTVJB-TAVRW-O7R7BW</t>
  </si>
  <si>
    <t>LRNHWZ-57VHX-HWWRUW,LPEDUI-QCVOM-6NRCON,LQG5LY-EWTI6-RSHFAR</t>
  </si>
  <si>
    <t>O3NVLB-QN7EY-FMQ6CE</t>
  </si>
  <si>
    <t>LVPZY3-Q45Q7-LMRC3C,LWLOFX-MMUGN-TTVA5O,L6CQJL-6WC7R-HFAEGK</t>
  </si>
  <si>
    <t>OXYUXG-MWUSN-R5UQHK</t>
  </si>
  <si>
    <t>L6SMP6-NDAWR-2UIRQZ,LJDYPI-R6LH7-E2EA6H,LKTWBH-PHKLE-CC24C2</t>
  </si>
  <si>
    <t>O3ZHGF-QQMXC-EVF2YX</t>
  </si>
  <si>
    <t>L6W2JN-Z6XBJ-36ZUNE,LU2EIK-LAETH-JD4F56,LBOVA7-4FOSU-VDWKFU</t>
  </si>
  <si>
    <t>OKJB6I-BNMCX-D6SSRD</t>
  </si>
  <si>
    <t>LR74IH-UWJYR-KCPT4I,LZCKOU-6WH7Y-OAOCFE,LCCMR6-CUGBS-OVGXI6</t>
  </si>
  <si>
    <t>OY7NWP-OJ4KS-EHEOGI</t>
  </si>
  <si>
    <t>LIGGLP-ATT37-DVOVHS,LXNJSC-GVZ6M-MTAFRA,L4UFCK-RHGHP-4I25WP</t>
  </si>
  <si>
    <t>OJFZRV-MR4H3-OT5OQC</t>
  </si>
  <si>
    <t>LSRT4P-ZF56G-DOKHCB,LET3FK-M2Y2E-OFAZFN,LWSASC-3X4CP-OD5E5A</t>
  </si>
  <si>
    <t>ONWRF5-UZ2FN-ZUG2A6</t>
  </si>
  <si>
    <t>LOHSU5-BSLCE-ZQLVUP,L6574Z-POCSK-2F2GNE,LYQPUH-I32RR-YE44I3</t>
  </si>
  <si>
    <t>OV46XD-ZO26J-BCHG5E</t>
  </si>
  <si>
    <t>LLMMB3-QKWQR-UXWHAT,LH4Q2I-JSAQ4-7ME3PF,LS3LWD-WUVCK-VNJFVN</t>
  </si>
  <si>
    <t>O6ZBZU-C2XIF-MQOVIG</t>
  </si>
  <si>
    <t>L6AGHL-WO5W6-S3TVAM,LB4MAJ-LLAHT-NJFAVY,LMRL7X-JMOJX-OKACJ4</t>
  </si>
  <si>
    <t>OKSCMB-WSZRF-SCT33I</t>
  </si>
  <si>
    <t>LAFT3F-34O4Y-3Z6DR6,LOJBPZ-Y56PH-JIQXYT,LTRCGC-FBIEW-BT4KRV</t>
  </si>
  <si>
    <t>OD3CEA-5OKIO-FIMEML</t>
  </si>
  <si>
    <t>LQSRFB-Q6LAE-MWPGR3,L7ZYTN-RH3DV-AX77WC,LEMWMH-4ZUQV-AIGEHQ</t>
  </si>
  <si>
    <t>ORXKUI-CP7ZJ-BLXVAE</t>
  </si>
  <si>
    <t>LG3U5T-AJZ2S-NO6NVI,LTZEDC-WI4WD-Y3ZB2I,LLPN6G-VHP36-Q64GZD</t>
  </si>
  <si>
    <t>OGZAU6-2SUCK-4QEURJ</t>
  </si>
  <si>
    <t>LHHQUZ-NOHGH-4J5U3B,LZ62TJ-PCHQN-MIZFLV,LT67JQ-UMNPH-4HLFEU</t>
  </si>
  <si>
    <t>OQM7ZF-I7YFD-AP7SUV</t>
  </si>
  <si>
    <t>LJJ6JA-635BQ-2TWLEN,LFGGGM-2EAAM-JNGFS5,LNEC6I-6CRF6-762MEZ</t>
  </si>
  <si>
    <t>OL722S-BZJJN-MBBD5N</t>
  </si>
  <si>
    <t>LLERVV-7Y6UD-CQIDJJ,L4DTH7-WAHUN-LNCCGJ,L7S27Q-OJCDZ-EQ7LPQ</t>
  </si>
  <si>
    <t>OLIJI5-U5E2L-3SRHS5</t>
  </si>
  <si>
    <t>LK67QU-KMT6P-HS22G3,LP2P5R-UUIEZ-RYL3OJ,LXININ-EXHQQ-XYB7JF</t>
  </si>
  <si>
    <t>OZO4SE-W5KQZ-7JGL2S</t>
  </si>
  <si>
    <t>LO53W2-FKVRJ-GGDHM2,LE3IRU-L5DT3-Z7WAUM,LWR65G-AZKQL-2ZI2FS</t>
  </si>
  <si>
    <t>OE7K43-G35A3-32R6Z7</t>
  </si>
  <si>
    <t>LUUEKH-L2ELB-2DDEFN,LQTKDD-II7GJ-HAKJ3I,LVBF3Z-4GOWR-YMRUTA</t>
  </si>
  <si>
    <t>OQJMYU-UVY2N-R6Q7A4</t>
  </si>
  <si>
    <t>LPH4H4-HMTLA-FD22R2,L5G4RH-GZ6GJ-YCPOHN,LSWL2G-VITTT-FGX3GF</t>
  </si>
  <si>
    <t>OGDI6R-RP3IF-7AVP4Q</t>
  </si>
  <si>
    <t>LLNSCU-V5OHG-EO7O3S,LDFM5J-SBSXL-PYALZ4,LUBSV2-WX7AI-AUSBJA</t>
  </si>
  <si>
    <t>O6MF5N-KP7DR-EH74Y2</t>
  </si>
  <si>
    <t>LQGCOP-MDJCB-5FVDPW,LBTWTL-SDRTI-CCBGAN,LOUUK5-XAOKU-VYIOQN</t>
  </si>
  <si>
    <t>=XLOOKUP(B179,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</si>
</sst>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 \ \ \ #,##0.0;\ \ \ \ \-#,##0.0;\ \ \ \ 0.0;&quot;    &quot;@"/>
    <numFmt numFmtId="165" formatCode="\ \ #,##0.0;\ \ \-#,##0.0;\ \ 0.0;&quot;  &quot;@"/>
    <numFmt numFmtId="166" formatCode="#,##0.0;\-#,##0.0;0.0;@"/>
    <numFmt numFmtId="167" formatCode="[$-409]d\-mmm\-yy;@"/>
    <numFmt numFmtId="168" formatCode="[$-409]mmm\-yy;@"/>
  </numFmts>
  <fonts count="43" x14ac:knownFonts="1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Arial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9"/>
      <color rgb="FF92D05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name val="Arial"/>
      <family val="2"/>
    </font>
    <font>
      <b/>
      <sz val="12"/>
      <color rgb="FFC00000"/>
      <name val="Arial"/>
      <family val="2"/>
    </font>
    <font>
      <sz val="12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Calibri"/>
      <family val="2"/>
    </font>
    <font>
      <sz val="10"/>
      <color rgb="FF707D90"/>
      <name val="Calibri"/>
      <family val="2"/>
    </font>
    <font>
      <b/>
      <sz val="8"/>
      <color theme="1"/>
      <name val="Wingdings"/>
      <charset val="2"/>
    </font>
    <font>
      <sz val="8"/>
      <color theme="1"/>
      <name val="Wingdings"/>
      <charset val="2"/>
    </font>
    <font>
      <sz val="8"/>
      <color theme="1"/>
      <name val="Calibri"/>
      <family val="2"/>
    </font>
    <font>
      <b/>
      <i/>
      <sz val="10"/>
      <color theme="1"/>
      <name val="Calibri"/>
      <family val="2"/>
    </font>
    <font>
      <i/>
      <sz val="9"/>
      <color rgb="FF707D90"/>
      <name val="Calibri"/>
      <family val="2"/>
    </font>
    <font>
      <b/>
      <i/>
      <sz val="9"/>
      <color rgb="FF707D90"/>
      <name val="Calibri"/>
      <family val="2"/>
    </font>
    <font>
      <sz val="9"/>
      <color rgb="FF707D90"/>
      <name val="Calibri"/>
      <family val="2"/>
    </font>
    <font>
      <b/>
      <sz val="10"/>
      <color rgb="FF0070C0"/>
      <name val="Calibri"/>
      <family val="2"/>
    </font>
    <font>
      <u/>
      <sz val="10"/>
      <color theme="10"/>
      <name val="Arial"/>
      <family val="2"/>
    </font>
    <font>
      <sz val="8"/>
      <color rgb="FF707D90"/>
      <name val="Calibri"/>
      <family val="2"/>
    </font>
    <font>
      <u/>
      <sz val="8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theme="3"/>
      </bottom>
      <diagonal/>
    </border>
    <border>
      <left/>
      <right/>
      <top/>
      <bottom style="thin">
        <color theme="3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/>
      <bottom style="hair">
        <color theme="3"/>
      </bottom>
      <diagonal/>
    </border>
    <border>
      <left style="thick">
        <color theme="0"/>
      </left>
      <right style="thick">
        <color theme="0"/>
      </right>
      <top/>
      <bottom style="thin">
        <color theme="3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46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4" applyNumberFormat="0" applyAlignment="0" applyProtection="0"/>
    <xf numFmtId="0" fontId="12" fillId="3" borderId="5" applyNumberFormat="0" applyAlignment="0" applyProtection="0"/>
    <xf numFmtId="0" fontId="13" fillId="3" borderId="4" applyNumberFormat="0" applyAlignment="0" applyProtection="0"/>
    <xf numFmtId="0" fontId="14" fillId="0" borderId="6" applyNumberFormat="0" applyFill="0" applyAlignment="0" applyProtection="0"/>
    <xf numFmtId="0" fontId="15" fillId="4" borderId="7" applyNumberFormat="0" applyAlignment="0" applyProtection="0"/>
    <xf numFmtId="0" fontId="16" fillId="0" borderId="0" applyNumberFormat="0" applyFill="0" applyBorder="0" applyAlignment="0" applyProtection="0"/>
    <xf numFmtId="0" fontId="6" fillId="5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2" fillId="0" borderId="0">
      <alignment vertical="center"/>
    </xf>
    <xf numFmtId="164" fontId="23" fillId="0" borderId="11">
      <alignment horizontal="left" vertical="center"/>
    </xf>
    <xf numFmtId="0" fontId="20" fillId="0" borderId="13">
      <alignment horizontal="right" vertical="center"/>
    </xf>
    <xf numFmtId="0" fontId="20" fillId="19" borderId="15">
      <alignment horizontal="right" vertical="center"/>
    </xf>
    <xf numFmtId="0" fontId="23" fillId="0" borderId="15">
      <alignment horizontal="right" vertical="center"/>
    </xf>
    <xf numFmtId="0" fontId="21" fillId="18" borderId="14">
      <alignment horizontal="center" vertical="center"/>
    </xf>
    <xf numFmtId="0" fontId="20" fillId="19" borderId="13">
      <alignment horizontal="right" vertical="center"/>
    </xf>
    <xf numFmtId="165" fontId="20" fillId="0" borderId="12">
      <alignment horizontal="left" vertical="center"/>
    </xf>
    <xf numFmtId="0" fontId="20" fillId="0" borderId="16">
      <alignment horizontal="right" vertical="center"/>
    </xf>
    <xf numFmtId="0" fontId="20" fillId="19" borderId="16">
      <alignment horizontal="right" vertical="center"/>
    </xf>
    <xf numFmtId="166" fontId="20" fillId="0" borderId="10">
      <alignment horizontal="left" vertical="center"/>
    </xf>
    <xf numFmtId="0" fontId="20" fillId="0" borderId="17">
      <alignment horizontal="right" vertical="center"/>
    </xf>
    <xf numFmtId="0" fontId="20" fillId="19" borderId="17">
      <alignment horizontal="right" vertical="center"/>
    </xf>
    <xf numFmtId="0" fontId="24" fillId="0" borderId="0">
      <alignment horizontal="center" vertical="center"/>
    </xf>
    <xf numFmtId="0" fontId="19" fillId="0" borderId="0">
      <alignment vertical="center"/>
    </xf>
    <xf numFmtId="0" fontId="25" fillId="0" borderId="0">
      <alignment vertical="center"/>
    </xf>
    <xf numFmtId="0" fontId="26" fillId="0" borderId="0"/>
    <xf numFmtId="0" fontId="1" fillId="0" borderId="0"/>
    <xf numFmtId="0" fontId="37" fillId="0" borderId="0" applyNumberFormat="0" applyFill="0" applyBorder="0" applyAlignment="0" applyProtection="0"/>
  </cellStyleXfs>
  <cellXfs count="85">
    <xf numFmtId="0" fontId="0" fillId="0" borderId="0" xfId="0"/>
    <xf numFmtId="0" fontId="27" fillId="0" borderId="18" xfId="43" applyFont="1" applyBorder="1" applyAlignment="1">
      <alignment horizontal="center" vertical="top" wrapText="1"/>
    </xf>
    <xf numFmtId="0" fontId="27" fillId="0" borderId="0" xfId="43" applyFont="1" applyAlignment="1">
      <alignment horizontal="center"/>
    </xf>
    <xf numFmtId="0" fontId="4" fillId="0" borderId="0" xfId="43" applyFont="1"/>
    <xf numFmtId="167" fontId="4" fillId="0" borderId="0" xfId="43" applyNumberFormat="1" applyFont="1"/>
    <xf numFmtId="2" fontId="4" fillId="0" borderId="0" xfId="43" applyNumberFormat="1" applyFont="1" applyAlignment="1">
      <alignment horizontal="right"/>
    </xf>
    <xf numFmtId="167" fontId="28" fillId="0" borderId="18" xfId="43" applyNumberFormat="1" applyFont="1" applyBorder="1" applyAlignment="1">
      <alignment horizontal="center" vertical="center" wrapText="1"/>
    </xf>
    <xf numFmtId="0" fontId="3" fillId="0" borderId="0" xfId="43" applyFont="1"/>
    <xf numFmtId="0" fontId="30" fillId="0" borderId="18" xfId="43" applyFont="1" applyBorder="1" applyAlignment="1">
      <alignment horizontal="center" vertical="center"/>
    </xf>
    <xf numFmtId="0" fontId="31" fillId="0" borderId="0" xfId="43" applyFont="1"/>
    <xf numFmtId="167" fontId="33" fillId="0" borderId="18" xfId="43" applyNumberFormat="1" applyFont="1" applyBorder="1" applyAlignment="1">
      <alignment horizontal="center" vertical="center" wrapText="1"/>
    </xf>
    <xf numFmtId="2" fontId="4" fillId="0" borderId="0" xfId="43" applyNumberFormat="1" applyFont="1" applyAlignment="1">
      <alignment horizontal="left"/>
    </xf>
    <xf numFmtId="2" fontId="28" fillId="0" borderId="18" xfId="43" applyNumberFormat="1" applyFont="1" applyBorder="1" applyAlignment="1">
      <alignment horizontal="right" vertical="center" wrapText="1"/>
    </xf>
    <xf numFmtId="0" fontId="28" fillId="0" borderId="18" xfId="43" applyFont="1" applyBorder="1" applyAlignment="1">
      <alignment horizontal="left" vertical="center" wrapText="1"/>
    </xf>
    <xf numFmtId="0" fontId="28" fillId="0" borderId="18" xfId="43" applyFont="1" applyBorder="1" applyAlignment="1">
      <alignment horizontal="center" vertical="center" wrapText="1"/>
    </xf>
    <xf numFmtId="0" fontId="33" fillId="0" borderId="18" xfId="43" applyFont="1" applyBorder="1" applyAlignment="1">
      <alignment horizontal="center" vertical="center" wrapText="1"/>
    </xf>
    <xf numFmtId="0" fontId="34" fillId="0" borderId="18" xfId="43" applyFont="1" applyBorder="1" applyAlignment="1">
      <alignment horizontal="left" vertical="center" wrapText="1"/>
    </xf>
    <xf numFmtId="0" fontId="2" fillId="0" borderId="0" xfId="43" applyFont="1"/>
    <xf numFmtId="2" fontId="2" fillId="0" borderId="0" xfId="43" applyNumberFormat="1" applyFont="1" applyAlignment="1">
      <alignment horizontal="left"/>
    </xf>
    <xf numFmtId="0" fontId="35" fillId="0" borderId="18" xfId="43" applyFont="1" applyBorder="1" applyAlignment="1">
      <alignment horizontal="left" vertical="center" wrapText="1"/>
    </xf>
    <xf numFmtId="167" fontId="2" fillId="0" borderId="0" xfId="43" applyNumberFormat="1" applyFont="1"/>
    <xf numFmtId="2" fontId="2" fillId="0" borderId="0" xfId="43" applyNumberFormat="1" applyFont="1" applyAlignment="1">
      <alignment horizontal="right"/>
    </xf>
    <xf numFmtId="167" fontId="28" fillId="22" borderId="18" xfId="43" applyNumberFormat="1" applyFont="1" applyFill="1" applyBorder="1" applyAlignment="1">
      <alignment horizontal="center" vertical="center" wrapText="1"/>
    </xf>
    <xf numFmtId="167" fontId="28" fillId="23" borderId="18" xfId="43" applyNumberFormat="1" applyFont="1" applyFill="1" applyBorder="1" applyAlignment="1">
      <alignment horizontal="center" vertical="center" wrapText="1"/>
    </xf>
    <xf numFmtId="0" fontId="4" fillId="0" borderId="0" xfId="43" applyFont="1" applyAlignment="1">
      <alignment horizontal="center"/>
    </xf>
    <xf numFmtId="2" fontId="36" fillId="23" borderId="18" xfId="43" applyNumberFormat="1" applyFont="1" applyFill="1" applyBorder="1" applyAlignment="1">
      <alignment horizontal="right" vertical="center" wrapText="1"/>
    </xf>
    <xf numFmtId="168" fontId="37" fillId="0" borderId="18" xfId="45" applyNumberFormat="1" applyBorder="1" applyAlignment="1">
      <alignment horizontal="left" vertical="center"/>
    </xf>
    <xf numFmtId="168" fontId="38" fillId="0" borderId="18" xfId="43" applyNumberFormat="1" applyFont="1" applyBorder="1" applyAlignment="1">
      <alignment horizontal="left" vertical="center"/>
    </xf>
    <xf numFmtId="1" fontId="38" fillId="0" borderId="18" xfId="43" applyNumberFormat="1" applyFont="1" applyBorder="1" applyAlignment="1">
      <alignment horizontal="right" vertical="center" wrapText="1"/>
    </xf>
    <xf numFmtId="168" fontId="39" fillId="0" borderId="18" xfId="45" applyNumberFormat="1" applyFont="1" applyBorder="1" applyAlignment="1">
      <alignment horizontal="left" vertical="center"/>
    </xf>
    <xf numFmtId="168" fontId="38" fillId="0" borderId="18" xfId="43" applyNumberFormat="1" applyFont="1" applyBorder="1" applyAlignment="1">
      <alignment vertical="center"/>
    </xf>
    <xf numFmtId="1" fontId="38" fillId="0" borderId="18" xfId="43" applyNumberFormat="1" applyFont="1" applyBorder="1" applyAlignment="1">
      <alignment vertical="center"/>
    </xf>
    <xf numFmtId="2" fontId="28" fillId="0" borderId="19" xfId="43" applyNumberFormat="1" applyFont="1" applyBorder="1" applyAlignment="1">
      <alignment horizontal="right" vertical="center" wrapText="1"/>
    </xf>
    <xf numFmtId="0" fontId="28" fillId="0" borderId="20" xfId="43" applyFont="1" applyBorder="1" applyAlignment="1">
      <alignment horizontal="left" vertical="center" wrapText="1"/>
    </xf>
    <xf numFmtId="2" fontId="28" fillId="0" borderId="21" xfId="43" applyNumberFormat="1" applyFont="1" applyBorder="1" applyAlignment="1">
      <alignment horizontal="right" vertical="center" wrapText="1"/>
    </xf>
    <xf numFmtId="2" fontId="28" fillId="24" borderId="21" xfId="43" applyNumberFormat="1" applyFont="1" applyFill="1" applyBorder="1" applyAlignment="1">
      <alignment horizontal="right" vertical="center" wrapText="1"/>
    </xf>
    <xf numFmtId="2" fontId="28" fillId="22" borderId="21" xfId="43" applyNumberFormat="1" applyFont="1" applyFill="1" applyBorder="1" applyAlignment="1">
      <alignment horizontal="right" vertical="center" wrapText="1"/>
    </xf>
    <xf numFmtId="2" fontId="28" fillId="23" borderId="21" xfId="43" applyNumberFormat="1" applyFont="1" applyFill="1" applyBorder="1" applyAlignment="1">
      <alignment horizontal="right" vertical="center" wrapText="1"/>
    </xf>
    <xf numFmtId="0" fontId="28" fillId="0" borderId="21" xfId="43" applyFont="1" applyBorder="1" applyAlignment="1">
      <alignment horizontal="left" vertical="center" wrapText="1"/>
    </xf>
    <xf numFmtId="2" fontId="36" fillId="22" borderId="21" xfId="43" applyNumberFormat="1" applyFont="1" applyFill="1" applyBorder="1" applyAlignment="1">
      <alignment horizontal="right" vertical="center" wrapText="1"/>
    </xf>
    <xf numFmtId="0" fontId="29" fillId="21" borderId="23" xfId="43" applyFont="1" applyFill="1" applyBorder="1" applyAlignment="1">
      <alignment horizontal="center" vertical="center" wrapText="1"/>
    </xf>
    <xf numFmtId="0" fontId="27" fillId="0" borderId="23" xfId="43" applyFont="1" applyBorder="1" applyAlignment="1">
      <alignment horizontal="center" vertical="top" wrapText="1"/>
    </xf>
    <xf numFmtId="0" fontId="27" fillId="0" borderId="23" xfId="43" applyFont="1" applyBorder="1" applyAlignment="1">
      <alignment horizontal="center" vertical="top"/>
    </xf>
    <xf numFmtId="0" fontId="27" fillId="0" borderId="24" xfId="43" applyFont="1" applyBorder="1" applyAlignment="1">
      <alignment horizontal="center" vertical="top"/>
    </xf>
    <xf numFmtId="2" fontId="27" fillId="0" borderId="25" xfId="43" applyNumberFormat="1" applyFont="1" applyBorder="1" applyAlignment="1">
      <alignment horizontal="center" vertical="top" wrapText="1"/>
    </xf>
    <xf numFmtId="2" fontId="27" fillId="0" borderId="23" xfId="43" applyNumberFormat="1" applyFont="1" applyBorder="1" applyAlignment="1">
      <alignment horizontal="center" vertical="top" wrapText="1"/>
    </xf>
    <xf numFmtId="0" fontId="32" fillId="20" borderId="23" xfId="43" applyFont="1" applyFill="1" applyBorder="1" applyAlignment="1">
      <alignment horizontal="center" vertical="top"/>
    </xf>
    <xf numFmtId="0" fontId="32" fillId="20" borderId="23" xfId="43" applyFont="1" applyFill="1" applyBorder="1" applyAlignment="1">
      <alignment horizontal="center" vertical="center"/>
    </xf>
    <xf numFmtId="0" fontId="30" fillId="0" borderId="29" xfId="43" applyFont="1" applyBorder="1" applyAlignment="1">
      <alignment horizontal="center" vertical="center"/>
    </xf>
    <xf numFmtId="167" fontId="28" fillId="0" borderId="29" xfId="43" applyNumberFormat="1" applyFont="1" applyBorder="1" applyAlignment="1">
      <alignment horizontal="center" vertical="center" wrapText="1"/>
    </xf>
    <xf numFmtId="168" fontId="38" fillId="0" borderId="29" xfId="43" applyNumberFormat="1" applyFont="1" applyBorder="1" applyAlignment="1">
      <alignment vertical="center"/>
    </xf>
    <xf numFmtId="1" fontId="38" fillId="0" borderId="29" xfId="43" applyNumberFormat="1" applyFont="1" applyBorder="1" applyAlignment="1">
      <alignment horizontal="right" vertical="center" wrapText="1"/>
    </xf>
    <xf numFmtId="168" fontId="38" fillId="0" borderId="29" xfId="43" applyNumberFormat="1" applyFont="1" applyBorder="1" applyAlignment="1">
      <alignment horizontal="left" vertical="center"/>
    </xf>
    <xf numFmtId="0" fontId="28" fillId="0" borderId="29" xfId="43" applyFont="1" applyBorder="1" applyAlignment="1">
      <alignment horizontal="left" vertical="center" wrapText="1"/>
    </xf>
    <xf numFmtId="0" fontId="28" fillId="0" borderId="30" xfId="43" applyFont="1" applyBorder="1" applyAlignment="1">
      <alignment horizontal="left" vertical="center" wrapText="1"/>
    </xf>
    <xf numFmtId="2" fontId="28" fillId="0" borderId="31" xfId="43" applyNumberFormat="1" applyFont="1" applyBorder="1" applyAlignment="1">
      <alignment horizontal="right" vertical="center" wrapText="1"/>
    </xf>
    <xf numFmtId="2" fontId="28" fillId="0" borderId="29" xfId="43" applyNumberFormat="1" applyFont="1" applyBorder="1" applyAlignment="1">
      <alignment horizontal="right" vertical="center" wrapText="1"/>
    </xf>
    <xf numFmtId="0" fontId="28" fillId="0" borderId="31" xfId="43" applyFont="1" applyBorder="1" applyAlignment="1">
      <alignment horizontal="left" vertical="center" wrapText="1"/>
    </xf>
    <xf numFmtId="0" fontId="28" fillId="0" borderId="29" xfId="43" applyFont="1" applyBorder="1" applyAlignment="1">
      <alignment horizontal="center" vertical="center" wrapText="1"/>
    </xf>
    <xf numFmtId="0" fontId="33" fillId="0" borderId="29" xfId="43" applyFont="1" applyBorder="1" applyAlignment="1">
      <alignment horizontal="center" vertical="center" wrapText="1"/>
    </xf>
    <xf numFmtId="167" fontId="33" fillId="0" borderId="29" xfId="43" applyNumberFormat="1" applyFont="1" applyBorder="1" applyAlignment="1">
      <alignment horizontal="center" vertical="center" wrapText="1"/>
    </xf>
    <xf numFmtId="0" fontId="35" fillId="0" borderId="29" xfId="43" applyFont="1" applyBorder="1" applyAlignment="1">
      <alignment horizontal="left" vertical="center" wrapText="1"/>
    </xf>
    <xf numFmtId="2" fontId="42" fillId="25" borderId="18" xfId="43" applyNumberFormat="1" applyFont="1" applyFill="1" applyBorder="1" applyAlignment="1">
      <alignment horizontal="right" vertical="center" wrapText="1"/>
    </xf>
    <xf numFmtId="168" fontId="37" fillId="26" borderId="18" xfId="45" applyNumberFormat="1" applyFill="1" applyBorder="1" applyAlignment="1">
      <alignment horizontal="left" vertical="center"/>
    </xf>
    <xf numFmtId="2" fontId="36" fillId="0" borderId="18" xfId="43" applyNumberFormat="1" applyFont="1" applyBorder="1" applyAlignment="1">
      <alignment horizontal="right" vertical="center" wrapText="1"/>
    </xf>
    <xf numFmtId="2" fontId="36" fillId="0" borderId="21" xfId="43" applyNumberFormat="1" applyFont="1" applyBorder="1" applyAlignment="1">
      <alignment horizontal="right" vertical="center" wrapText="1"/>
    </xf>
    <xf numFmtId="0" fontId="27" fillId="0" borderId="23" xfId="43" applyFont="1" applyBorder="1" applyAlignment="1">
      <alignment horizontal="left" vertical="top"/>
    </xf>
    <xf numFmtId="0" fontId="28" fillId="0" borderId="29" xfId="43" quotePrefix="1" applyFont="1" applyBorder="1" applyAlignment="1">
      <alignment horizontal="left" vertical="center" wrapText="1"/>
    </xf>
    <xf numFmtId="0" fontId="28" fillId="0" borderId="18" xfId="43" quotePrefix="1" applyFont="1" applyBorder="1" applyAlignment="1">
      <alignment horizontal="left" vertical="center" wrapText="1"/>
    </xf>
    <xf numFmtId="0" fontId="4" fillId="0" borderId="0" xfId="43" applyFont="1" applyAlignment="1">
      <alignment horizontal="left"/>
    </xf>
    <xf numFmtId="22" fontId="0" fillId="0" borderId="0" xfId="0" applyNumberFormat="1"/>
    <xf numFmtId="47" fontId="0" fillId="0" borderId="0" xfId="0" applyNumberFormat="1"/>
    <xf numFmtId="0" fontId="0" fillId="27" borderId="0" xfId="0" applyFill="1"/>
    <xf numFmtId="0" fontId="0" fillId="21" borderId="0" xfId="0" applyFill="1"/>
    <xf numFmtId="0" fontId="2" fillId="0" borderId="22" xfId="43" applyFont="1" applyBorder="1"/>
    <xf numFmtId="0" fontId="2" fillId="0" borderId="0" xfId="43" applyFont="1" applyAlignment="1">
      <alignment horizontal="center"/>
    </xf>
    <xf numFmtId="0" fontId="2" fillId="0" borderId="0" xfId="43" applyFont="1" applyAlignment="1">
      <alignment horizontal="left"/>
    </xf>
    <xf numFmtId="0" fontId="37" fillId="0" borderId="0" xfId="45"/>
    <xf numFmtId="167" fontId="0" fillId="0" borderId="0" xfId="0" applyNumberFormat="1"/>
    <xf numFmtId="0" fontId="0" fillId="28" borderId="0" xfId="0" applyFill="1"/>
    <xf numFmtId="167" fontId="28" fillId="26" borderId="18" xfId="44" applyNumberFormat="1" applyFont="1" applyFill="1" applyBorder="1" applyAlignment="1">
      <alignment horizontal="center" vertical="center" wrapText="1"/>
    </xf>
    <xf numFmtId="0" fontId="27" fillId="0" borderId="26" xfId="43" applyFont="1" applyBorder="1" applyAlignment="1">
      <alignment horizontal="center" vertical="top" wrapText="1"/>
    </xf>
    <xf numFmtId="0" fontId="27" fillId="0" borderId="27" xfId="43" applyFont="1" applyBorder="1" applyAlignment="1">
      <alignment horizontal="center" vertical="top" wrapText="1"/>
    </xf>
    <xf numFmtId="0" fontId="27" fillId="0" borderId="28" xfId="43" applyFont="1" applyBorder="1" applyAlignment="1">
      <alignment horizontal="center" vertical="top" wrapText="1"/>
    </xf>
    <xf numFmtId="0" fontId="0" fillId="27" borderId="0" xfId="0" applyFill="1" applyAlignment="1">
      <alignment horizontal="left"/>
    </xf>
  </cellXfs>
  <cellStyles count="46">
    <cellStyle name="1. Headline" xfId="27" xr:uid="{00000000-0005-0000-0000-000000000000}"/>
    <cellStyle name="2. Headline" xfId="42" xr:uid="{00000000-0005-0000-0000-000001000000}"/>
    <cellStyle name="20% - Accent1" xfId="15" builtinId="30" customBuiltin="1"/>
    <cellStyle name="20% - Accent2" xfId="17" builtinId="34" customBuiltin="1"/>
    <cellStyle name="20% - Accent3" xfId="19" builtinId="38" customBuiltin="1"/>
    <cellStyle name="20% - Accent4" xfId="21" builtinId="42" customBuiltin="1"/>
    <cellStyle name="20% - Accent5" xfId="23" builtinId="46" customBuiltin="1"/>
    <cellStyle name="20% - Accent6" xfId="25" builtinId="50" customBuiltin="1"/>
    <cellStyle name="40% - Accent1" xfId="16" builtinId="31" customBuiltin="1"/>
    <cellStyle name="40% - Accent2" xfId="18" builtinId="35" customBuiltin="1"/>
    <cellStyle name="40% - Accent3" xfId="20" builtinId="39" customBuiltin="1"/>
    <cellStyle name="40% - Accent4" xfId="22" builtinId="43" customBuiltin="1"/>
    <cellStyle name="40% - Accent5" xfId="24" builtinId="47" customBuiltin="1"/>
    <cellStyle name="40% - Accent6" xfId="26" builtinId="51" customBuiltin="1"/>
    <cellStyle name="Calculation" xfId="8" builtinId="22" hidden="1"/>
    <cellStyle name="Check Cell" xfId="10" builtinId="23" hidden="1"/>
    <cellStyle name="Column Header" xfId="29" xr:uid="{00000000-0005-0000-0000-000010000000}"/>
    <cellStyle name="COLUMN HEADER DARK" xfId="32" xr:uid="{00000000-0005-0000-0000-000011000000}"/>
    <cellStyle name="Explanatory Text" xfId="13" builtinId="53" hidden="1"/>
    <cellStyle name="Heading 1" xfId="2" builtinId="16" hidden="1"/>
    <cellStyle name="Heading 2" xfId="3" builtinId="17" hidden="1"/>
    <cellStyle name="Heading 3" xfId="4" builtinId="18" hidden="1"/>
    <cellStyle name="Heading 4" xfId="5" builtinId="19" hidden="1"/>
    <cellStyle name="Hyperlink" xfId="45" builtinId="8"/>
    <cellStyle name="Input" xfId="6" builtinId="20" hidden="1"/>
    <cellStyle name="Linked Cell" xfId="9" builtinId="24" hidden="1"/>
    <cellStyle name="Normal" xfId="0" builtinId="0" customBuiltin="1"/>
    <cellStyle name="Normal 2" xfId="43" xr:uid="{00000000-0005-0000-0000-00001A000000}"/>
    <cellStyle name="Normal 2 2" xfId="44" xr:uid="{BBD83956-DFF1-4D38-824A-92149C7957D5}"/>
    <cellStyle name="Note" xfId="12" builtinId="10" hidden="1"/>
    <cellStyle name="Output" xfId="7" builtinId="21" hidden="1"/>
    <cellStyle name="Row Header" xfId="28" xr:uid="{00000000-0005-0000-0000-00001D000000}"/>
    <cellStyle name="Sum Column Header" xfId="33" xr:uid="{00000000-0005-0000-0000-00001E000000}"/>
    <cellStyle name="Sum Column Value" xfId="30" xr:uid="{00000000-0005-0000-0000-00001F000000}"/>
    <cellStyle name="Sum Row Header" xfId="34" xr:uid="{00000000-0005-0000-0000-000020000000}"/>
    <cellStyle name="Sum Row Value" xfId="35" xr:uid="{00000000-0005-0000-0000-000021000000}"/>
    <cellStyle name="Sum Row/Column Value" xfId="36" xr:uid="{00000000-0005-0000-0000-000022000000}"/>
    <cellStyle name="Title" xfId="1" builtinId="15" hidden="1"/>
    <cellStyle name="Total" xfId="14" builtinId="25" hidden="1"/>
    <cellStyle name="TOTAL ROW HEADER" xfId="37" xr:uid="{00000000-0005-0000-0000-000025000000}"/>
    <cellStyle name="TOTAL ROW VALUE" xfId="38" xr:uid="{00000000-0005-0000-0000-000026000000}"/>
    <cellStyle name="TOTAL ROW/SUM COLUMN VALUE" xfId="39" xr:uid="{00000000-0005-0000-0000-000027000000}"/>
    <cellStyle name="Value" xfId="31" xr:uid="{00000000-0005-0000-0000-000028000000}"/>
    <cellStyle name="Warning Text" xfId="11" builtinId="11" hidden="1"/>
    <cellStyle name="z Helping Cells" xfId="41" xr:uid="{00000000-0005-0000-0000-00002A000000}"/>
    <cellStyle name="z Highlight/Lowlight" xfId="40" xr:uid="{00000000-0005-0000-0000-00002B000000}"/>
  </cellStyles>
  <dxfs count="28">
    <dxf>
      <font>
        <strike val="0"/>
      </font>
      <border diagonalUp="0" diagonalDown="0">
        <left style="thick">
          <color theme="0"/>
        </left>
        <right/>
        <top/>
        <bottom style="hair">
          <color theme="3"/>
        </bottom>
        <vertical/>
        <horizontal style="hair">
          <color theme="3"/>
        </horizontal>
      </border>
    </dxf>
    <dxf>
      <font>
        <b/>
        <i val="0"/>
        <strike val="0"/>
        <color auto="1"/>
      </font>
      <fill>
        <patternFill>
          <bgColor theme="3" tint="0.79998168889431442"/>
        </patternFill>
      </fill>
      <border diagonalUp="0" diagonalDown="0">
        <left/>
        <right style="thick">
          <color theme="0"/>
        </right>
        <top/>
        <bottom/>
        <vertical/>
        <horizontal style="medium">
          <color theme="0"/>
        </horizontal>
      </border>
    </dxf>
    <dxf>
      <border>
        <left style="thick">
          <color theme="0"/>
        </left>
        <right style="thick">
          <color theme="0"/>
        </right>
        <bottom style="dashed">
          <color theme="3"/>
        </bottom>
        <vertical style="thick">
          <color theme="0"/>
        </vertical>
        <horizontal/>
      </border>
    </dxf>
    <dxf>
      <font>
        <b/>
        <i val="0"/>
      </font>
      <border>
        <left style="thick">
          <color theme="0"/>
        </left>
        <right style="thick">
          <color theme="0"/>
        </right>
        <bottom style="thin">
          <color theme="3"/>
        </bottom>
        <vertical style="thick">
          <color theme="0"/>
        </vertical>
        <horizontal/>
      </border>
    </dxf>
    <dxf>
      <font>
        <b/>
        <i val="0"/>
      </font>
      <border diagonalUp="0" diagonalDown="0">
        <left style="thick">
          <color theme="0"/>
        </left>
        <right style="thick">
          <color theme="0"/>
        </right>
        <top style="thin">
          <color auto="1"/>
        </top>
        <bottom style="thin">
          <color auto="1"/>
        </bottom>
        <vertical style="thick">
          <color theme="0"/>
        </vertical>
        <horizontal/>
      </border>
    </dxf>
    <dxf>
      <font>
        <b val="0"/>
        <i val="0"/>
      </font>
      <fill>
        <patternFill patternType="none">
          <bgColor auto="1"/>
        </patternFill>
      </fill>
      <border>
        <left style="thick">
          <color theme="0"/>
        </left>
        <right style="thick">
          <color theme="0"/>
        </right>
        <bottom style="thin">
          <color auto="1"/>
        </bottom>
        <vertical style="thick">
          <color theme="0"/>
        </vertical>
        <horizontal/>
      </border>
    </dxf>
    <dxf>
      <font>
        <b/>
        <i val="0"/>
      </font>
      <fill>
        <patternFill patternType="none">
          <bgColor auto="1"/>
        </patternFill>
      </fill>
      <border>
        <left style="thick">
          <color theme="0"/>
        </left>
        <right style="thick">
          <color theme="0"/>
        </right>
        <top style="thin">
          <color theme="2"/>
        </top>
        <bottom style="thin">
          <color auto="1"/>
        </bottom>
        <vertical style="thick">
          <color theme="0"/>
        </vertical>
        <horizontal style="thin">
          <color auto="1"/>
        </horizontal>
      </border>
    </dxf>
    <dxf>
      <font>
        <b/>
        <i val="0"/>
        <color theme="2"/>
      </font>
      <fill>
        <patternFill>
          <bgColor theme="3"/>
        </patternFill>
      </fill>
      <border diagonalUp="0" diagonalDown="0">
        <left style="thick">
          <color theme="0"/>
        </left>
        <right style="thick">
          <color theme="0"/>
        </right>
        <top style="thin">
          <color auto="1"/>
        </top>
        <bottom style="thin">
          <color theme="0"/>
        </bottom>
        <vertical style="thick">
          <color theme="0"/>
        </vertical>
        <horizontal style="thin">
          <color theme="0"/>
        </horizontal>
      </border>
    </dxf>
    <dxf>
      <border>
        <bottom style="thin">
          <color theme="0"/>
        </bottom>
        <horizontal/>
      </border>
    </dxf>
    <dxf>
      <border>
        <left style="thick">
          <color theme="0"/>
        </left>
        <right style="thick">
          <color theme="0"/>
        </right>
        <bottom style="dashed">
          <color theme="3"/>
        </bottom>
        <vertical style="thick">
          <color theme="0"/>
        </vertical>
      </border>
    </dxf>
    <dxf>
      <font>
        <b/>
        <i val="0"/>
      </font>
      <border>
        <left style="thick">
          <color theme="0"/>
        </left>
        <right style="thick">
          <color theme="0"/>
        </right>
        <bottom style="thin">
          <color theme="3"/>
        </bottom>
        <vertical style="thick">
          <color theme="0"/>
        </vertical>
      </border>
    </dxf>
    <dxf>
      <font>
        <b/>
        <i val="0"/>
      </font>
      <border diagonalUp="0" diagonalDown="0">
        <left style="thick">
          <color theme="0"/>
        </left>
        <right style="thick">
          <color theme="0"/>
        </right>
        <top style="thin">
          <color auto="1"/>
        </top>
        <bottom style="thin">
          <color auto="1"/>
        </bottom>
        <vertical style="thick">
          <color theme="0"/>
        </vertical>
        <horizontal/>
      </border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fill>
        <patternFill>
          <bgColor theme="2" tint="-4.9989318521683403E-2"/>
        </patternFill>
      </fill>
      <border>
        <top style="dotted">
          <color theme="0"/>
        </top>
        <bottom style="dotted">
          <color theme="0"/>
        </bottom>
        <horizontal style="dotted">
          <color theme="0"/>
        </horizontal>
      </border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3" tint="0.79998168889431442"/>
        </patternFill>
      </fill>
      <border>
        <left style="thick">
          <color theme="0"/>
        </left>
        <right style="thick">
          <color theme="0"/>
        </right>
        <vertical style="thick">
          <color theme="0"/>
        </vertical>
      </border>
    </dxf>
    <dxf>
      <font>
        <b/>
        <i val="0"/>
      </font>
      <border>
        <left style="thick">
          <color theme="0"/>
        </left>
        <right style="thick">
          <color theme="0"/>
        </right>
        <top style="medium">
          <color auto="1"/>
        </top>
        <bottom style="medium">
          <color auto="1"/>
        </bottom>
        <vertical style="thick">
          <color theme="0"/>
        </vertical>
        <horizontal style="medium">
          <color auto="1"/>
        </horizontal>
      </border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border diagonalUp="0" diagonalDown="0">
        <left style="thick">
          <color theme="0"/>
        </left>
        <right style="thick">
          <color theme="0"/>
        </right>
        <top/>
        <bottom style="thin">
          <color theme="3" tint="0.79998168889431442"/>
        </bottom>
        <vertical style="thick">
          <color theme="0"/>
        </vertical>
        <horizontal style="thin">
          <color theme="3" tint="0.79998168889431442"/>
        </horizontal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</dxf>
    <dxf>
      <font>
        <b/>
        <i val="0"/>
      </font>
      <border diagonalUp="0" diagonalDown="0">
        <left style="thick">
          <color theme="0"/>
        </left>
        <right style="thick">
          <color theme="0"/>
        </right>
        <top style="thin">
          <color auto="1"/>
        </top>
        <bottom style="thin">
          <color auto="1"/>
        </bottom>
        <vertical style="thick">
          <color theme="0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theme="3"/>
        </patternFill>
      </fill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 style="thin">
          <color theme="0"/>
        </horizontal>
      </border>
    </dxf>
    <dxf>
      <border diagonalUp="0" diagonalDown="0">
        <left style="thick">
          <color theme="0"/>
        </left>
        <right style="thick">
          <color theme="0"/>
        </right>
        <top/>
        <bottom style="hair">
          <color theme="3"/>
        </bottom>
        <vertical style="thick">
          <color theme="0"/>
        </vertical>
        <horizontal style="hair">
          <color theme="3"/>
        </horizontal>
      </border>
    </dxf>
  </dxfs>
  <tableStyles count="2" defaultTableStyle="Heraeus Table Style" defaultPivotStyle="Heraeus_PivotTable-Format">
    <tableStyle name="Heraeus Table Style" pivot="0" count="7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secondRowStripe" dxfId="22"/>
      <tableStyleElement type="secondColumnStripe" dxfId="21"/>
    </tableStyle>
    <tableStyle name="Heraeus_PivotTable-Format" table="0" count="21" xr9:uid="{00000000-0011-0000-FFFF-FFFF01000000}">
      <tableStyleElement type="wholeTable" dxfId="20"/>
      <tableStyleElement type="headerRow" dxfId="19"/>
      <tableStyleElement type="totalRow" dxfId="18"/>
      <tableStyleElement type="lastColumn" dxfId="17"/>
      <tableStyleElement type="secondRowStripe" dxfId="16"/>
      <tableStyleElement type="secondColumnStripe" dxfId="15"/>
      <tableStyleElement type="firstHeaderCell" dxfId="14"/>
      <tableStyleElement type="secondSubtotalColumn" dxfId="13"/>
      <tableStyleElement type="thirdSubtotalColumn" dxfId="12"/>
      <tableStyleElement type="firstSubtotalRow" dxfId="11"/>
      <tableStyleElement type="secondSubtotalRow" dxfId="10"/>
      <tableStyleElement type="thirdSubtotalRow" dxfId="9"/>
      <tableStyleElement type="blankRow" dxfId="8"/>
      <tableStyleElement type="firstColumnSubheading" dxfId="7"/>
      <tableStyleElement type="secondColumnSubheading" dxfId="6"/>
      <tableStyleElement type="thirdColumnSubheading" dxfId="5"/>
      <tableStyleElement type="firstRowSubheading" dxfId="4"/>
      <tableStyleElement type="secondRowSubheading" dxfId="3"/>
      <tableStyleElement type="thirdRowSubheading" dxfId="2"/>
      <tableStyleElement type="pageFieldLabels" dxfId="1"/>
      <tableStyleElement type="pageFieldValues" dxfId="0"/>
    </tableStyle>
  </tableStyles>
  <colors>
    <mruColors>
      <color rgb="FF7FBEDC"/>
      <color rgb="FFB8DC81"/>
      <color rgb="FFFFE87F"/>
      <color rgb="FFF7C37F"/>
      <color rgb="FFCD7FB5"/>
      <color rgb="FF7E8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89</xdr:row>
      <xdr:rowOff>142875</xdr:rowOff>
    </xdr:from>
    <xdr:to>
      <xdr:col>23</xdr:col>
      <xdr:colOff>1181100</xdr:colOff>
      <xdr:row>146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4F7EF-1CFF-3B08-534E-8D44A24B9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5220950"/>
          <a:ext cx="12439650" cy="919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Heraeus">
      <a:dk1>
        <a:sysClr val="windowText" lastClr="000000"/>
      </a:dk1>
      <a:lt1>
        <a:srgbClr val="FFFFFF"/>
      </a:lt1>
      <a:dk2>
        <a:srgbClr val="7E8890"/>
      </a:dk2>
      <a:lt2>
        <a:srgbClr val="FFFFFF"/>
      </a:lt2>
      <a:accent1>
        <a:srgbClr val="007EB9"/>
      </a:accent1>
      <a:accent2>
        <a:srgbClr val="FFD200"/>
      </a:accent2>
      <a:accent3>
        <a:srgbClr val="72B904"/>
      </a:accent3>
      <a:accent4>
        <a:srgbClr val="EF8700"/>
      </a:accent4>
      <a:accent5>
        <a:srgbClr val="7E8890"/>
      </a:accent5>
      <a:accent6>
        <a:srgbClr val="9B006B"/>
      </a:accent6>
      <a:hlink>
        <a:srgbClr val="7E8890"/>
      </a:hlink>
      <a:folHlink>
        <a:srgbClr val="7E8890"/>
      </a:folHlink>
    </a:clrScheme>
    <a:fontScheme name="Heraeu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xrpscan.com/tx/D5C73A3C04E7375AF18E917CC31A2068F1D4B2EE1778A250288923087EA48250" TargetMode="External"/><Relationship Id="rId18" Type="http://schemas.openxmlformats.org/officeDocument/2006/relationships/hyperlink" Target="https://xrpscan.com/tx/C6B2E38C8960FF64DDA0B3827D1615E31234460A28055AC361123CE201741299" TargetMode="External"/><Relationship Id="rId26" Type="http://schemas.openxmlformats.org/officeDocument/2006/relationships/hyperlink" Target="https://bithomp.com/explorer/704889305D36DF433262F28E79CE91937CA569E011503C87AB0FC82BCCC2F4CA" TargetMode="External"/><Relationship Id="rId39" Type="http://schemas.openxmlformats.org/officeDocument/2006/relationships/hyperlink" Target="https://bithomp.com/explorer/EEF584E49FF4E944C471935F760DC932DD866073792F0DAF467D951D0E67B59F" TargetMode="External"/><Relationship Id="rId21" Type="http://schemas.openxmlformats.org/officeDocument/2006/relationships/hyperlink" Target="https://bithomp.com/explorer/89DA6E0506E88DEFB02147D8E2E7C4E531A429CF2C0F17FBF6B4D4A4431648A3" TargetMode="External"/><Relationship Id="rId34" Type="http://schemas.openxmlformats.org/officeDocument/2006/relationships/hyperlink" Target="https://bithomp.com/explorer/9A3BA2CB1F3B911F07C18B4CE6B3937EF8DAB5D33857BF3C8C6343D2350227F9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xrpscan.com/tx/2194D82FB4E82F6B64F0232B2B78FADB9DC1A17FB95CC8F9DC91514C6D99EBF4" TargetMode="External"/><Relationship Id="rId2" Type="http://schemas.openxmlformats.org/officeDocument/2006/relationships/hyperlink" Target="https://xrpscan.com/tx/9FBD5122F4A1ABF20B0705C3447962E6F13C24D7B045494CD8DB71FA7DAD2B21" TargetMode="External"/><Relationship Id="rId16" Type="http://schemas.openxmlformats.org/officeDocument/2006/relationships/hyperlink" Target="https://xrpscan.com/tx/79A623618F79701B689496F06F28E3604FBB1EF2EAC8222D0DBAB4FCDEA11A73" TargetMode="External"/><Relationship Id="rId20" Type="http://schemas.openxmlformats.org/officeDocument/2006/relationships/hyperlink" Target="https://xrpscan.com/tx/01CD79A6370ED295F052D1429E4A90831A48B4F174CBD9A900058F28D27C9CAA" TargetMode="External"/><Relationship Id="rId29" Type="http://schemas.openxmlformats.org/officeDocument/2006/relationships/hyperlink" Target="https://bithomp.com/explorer/59A4310F3F8B04267CB5F758B44C5125FD0A7BA4AC62AB2F867E8E42BFE26658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xrpscan.com/tx/F25CE3B619F0778F769EFF5B5752B15F4375A349D504DD38D4313F5D97868E51" TargetMode="External"/><Relationship Id="rId6" Type="http://schemas.openxmlformats.org/officeDocument/2006/relationships/hyperlink" Target="https://xrpscan.com/tx/02EC21E0D411DE5EEE4A006C3CC2D95DE95B19E031D9C05D9AB49513036904F6" TargetMode="External"/><Relationship Id="rId11" Type="http://schemas.openxmlformats.org/officeDocument/2006/relationships/hyperlink" Target="https://xrpscan.com/tx/E42794DDF0B8CE3960322E6700460B93FB22424BC9A17811F101C4EB0C3C81E3" TargetMode="External"/><Relationship Id="rId24" Type="http://schemas.openxmlformats.org/officeDocument/2006/relationships/hyperlink" Target="https://bithomp.com/explorer/2B372258F7200F7B81D0C160CDB258C6FC22178C7DB0F9D84AC8334D16853A79" TargetMode="External"/><Relationship Id="rId32" Type="http://schemas.openxmlformats.org/officeDocument/2006/relationships/hyperlink" Target="https://bithomp.com/explorer/142156A29078CDA90AE38A2213CC8F3618C12E86F969E01EC8B9A0C5BF66C67F" TargetMode="External"/><Relationship Id="rId37" Type="http://schemas.openxmlformats.org/officeDocument/2006/relationships/hyperlink" Target="https://bithomp.com/explorer/055FD2FF09C16BC95B3BDC0268582EB3BE2184615314C4C2D5081C36150577B4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xrpscan.com/tx/437FA042365ECE9CD8DD068C413D4FBFCB4B91DA8B64A0010B9FB501FD655CBC" TargetMode="External"/><Relationship Id="rId15" Type="http://schemas.openxmlformats.org/officeDocument/2006/relationships/hyperlink" Target="https://xrpscan.com/tx/0921F43F19B9E22CE791D4A5971638A4519E98A73E93C78FBB09A08C03356562" TargetMode="External"/><Relationship Id="rId23" Type="http://schemas.openxmlformats.org/officeDocument/2006/relationships/hyperlink" Target="https://bithomp.com/explorer/8F2873BFE79F71897C41F309842C424029A574E5868A0731EEB8B760454C43C4" TargetMode="External"/><Relationship Id="rId28" Type="http://schemas.openxmlformats.org/officeDocument/2006/relationships/hyperlink" Target="https://bithomp.com/explorer/1E4EA2BDD8885081435589A48A5EAC3111EB2B240019EA56CF572EC1998460E3" TargetMode="External"/><Relationship Id="rId36" Type="http://schemas.openxmlformats.org/officeDocument/2006/relationships/hyperlink" Target="https://bithomp.com/explorer/44A3820849D136E1E746B39EF858A0E5D7C658DDFF0D05C2A21930FD27A174EA" TargetMode="External"/><Relationship Id="rId10" Type="http://schemas.openxmlformats.org/officeDocument/2006/relationships/hyperlink" Target="https://xrpscan.com/tx/B5E50E80B9A6016B1B2BF2150C79149F511227851CDB9E974A8F6030CDBC0A74" TargetMode="External"/><Relationship Id="rId19" Type="http://schemas.openxmlformats.org/officeDocument/2006/relationships/hyperlink" Target="https://xrpscan.com/tx/655A1BB8EDDDBB5612166F1CBE0839717AE30DF770B6A85C183277DA5C3A8259" TargetMode="External"/><Relationship Id="rId31" Type="http://schemas.openxmlformats.org/officeDocument/2006/relationships/hyperlink" Target="https://bithomp.com/explorer/864A7C15A8B6E91BF8A0F4E3140938FA2483A3B55B05B689DAB360360E4CF013" TargetMode="External"/><Relationship Id="rId4" Type="http://schemas.openxmlformats.org/officeDocument/2006/relationships/hyperlink" Target="https://xrpscan.com/tx/5A244C410691D52736EE42C6C070B03D25604A34EC222046B9D30E308913F5D7" TargetMode="External"/><Relationship Id="rId9" Type="http://schemas.openxmlformats.org/officeDocument/2006/relationships/hyperlink" Target="https://xrpscan.com/tx/5AB9C1C3052B58C5870398B4A7EB68738C3EBBED79AE1A75722E9BE4A235D8A2" TargetMode="External"/><Relationship Id="rId14" Type="http://schemas.openxmlformats.org/officeDocument/2006/relationships/hyperlink" Target="https://xrpscan.com/tx/A31CC19EC91A33B093D5E9398A42C4E12FFBC8FFDBF8F30A2F96AE6C9E5AE890" TargetMode="External"/><Relationship Id="rId22" Type="http://schemas.openxmlformats.org/officeDocument/2006/relationships/hyperlink" Target="https://bithomp.com/explorer/183EDFFF6925D95DC65C5D0CB5D48F4EEC77B7304AD0D56DBAD0FE6A2082092F" TargetMode="External"/><Relationship Id="rId27" Type="http://schemas.openxmlformats.org/officeDocument/2006/relationships/hyperlink" Target="https://bithomp.com/explorer/A018CECE9725A49000646A608054148E517225135ACADBF13EF12CAC13D190CB" TargetMode="External"/><Relationship Id="rId30" Type="http://schemas.openxmlformats.org/officeDocument/2006/relationships/hyperlink" Target="https://bithomp.com/explorer/B3B9FB2CF3EA0679A0783E8292DFEA8278B62B746CADD2C957A2A2EB8DB715B2" TargetMode="External"/><Relationship Id="rId35" Type="http://schemas.openxmlformats.org/officeDocument/2006/relationships/hyperlink" Target="https://bithomp.com/explorer/5A2BF0005389C2969265FE30D41D0F74AD0D1032F12F3DFE00D4694FBF67128A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xrpscan.com/tx/3123170F050322C06D94A1C32D2CD56DFDAD23EC6450162C70CDEA1B55B3694E" TargetMode="External"/><Relationship Id="rId3" Type="http://schemas.openxmlformats.org/officeDocument/2006/relationships/hyperlink" Target="https://xrpscan.com/tx/9ED991B6FD966C3739300B4009C5CBCC786DF95B3E65C161ED78ABECD8BE2317" TargetMode="External"/><Relationship Id="rId12" Type="http://schemas.openxmlformats.org/officeDocument/2006/relationships/hyperlink" Target="https://xrpscan.com/tx/A94E9955466AD7ED93A9BCE196649FFB49B875F711A481181854B8D0642934DC" TargetMode="External"/><Relationship Id="rId17" Type="http://schemas.openxmlformats.org/officeDocument/2006/relationships/hyperlink" Target="https://xrpscan.com/tx/D9B6075638926640A0EA9F1094F6FB2F5C56746A300B25E6389E67700795F9B0" TargetMode="External"/><Relationship Id="rId25" Type="http://schemas.openxmlformats.org/officeDocument/2006/relationships/hyperlink" Target="https://bithomp.com/explorer/6CF6E9B042139AEAC3F03C58EA3F40D8F934935AD52F22AAC440D121986AC864" TargetMode="External"/><Relationship Id="rId33" Type="http://schemas.openxmlformats.org/officeDocument/2006/relationships/hyperlink" Target="https://bithomp.com/explorer/84543023F5756539057370632A221623CC0B173525180A8DF07F519A899343FB" TargetMode="External"/><Relationship Id="rId38" Type="http://schemas.openxmlformats.org/officeDocument/2006/relationships/hyperlink" Target="https://bithomp.com/explorer/33C343DAED3090AF40947D5750B8E1B37B06036C3BB2975FC078A7A57EB0933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ithomp.com/explorer/1E4EA2BDD8885081435589A48A5EAC3111EB2B240019EA56CF572EC1998460E3" TargetMode="External"/><Relationship Id="rId13" Type="http://schemas.openxmlformats.org/officeDocument/2006/relationships/hyperlink" Target="https://bithomp.com/explorer/84543023F5756539057370632A221623CC0B173525180A8DF07F519A899343FB" TargetMode="External"/><Relationship Id="rId18" Type="http://schemas.openxmlformats.org/officeDocument/2006/relationships/hyperlink" Target="https://bithomp.com/explorer/33C343DAED3090AF40947D5750B8E1B37B06036C3BB2975FC078A7A57EB09335" TargetMode="External"/><Relationship Id="rId3" Type="http://schemas.openxmlformats.org/officeDocument/2006/relationships/hyperlink" Target="https://bithomp.com/explorer/8F2873BFE79F71897C41F309842C424029A574E5868A0731EEB8B760454C43C4" TargetMode="External"/><Relationship Id="rId7" Type="http://schemas.openxmlformats.org/officeDocument/2006/relationships/hyperlink" Target="https://bithomp.com/explorer/A018CECE9725A49000646A608054148E517225135ACADBF13EF12CAC13D190CB" TargetMode="External"/><Relationship Id="rId12" Type="http://schemas.openxmlformats.org/officeDocument/2006/relationships/hyperlink" Target="https://bithomp.com/explorer/142156A29078CDA90AE38A2213CC8F3618C12E86F969E01EC8B9A0C5BF66C67F" TargetMode="External"/><Relationship Id="rId17" Type="http://schemas.openxmlformats.org/officeDocument/2006/relationships/hyperlink" Target="https://bithomp.com/explorer/055FD2FF09C16BC95B3BDC0268582EB3BE2184615314C4C2D5081C36150577B4" TargetMode="External"/><Relationship Id="rId2" Type="http://schemas.openxmlformats.org/officeDocument/2006/relationships/hyperlink" Target="https://bithomp.com/explorer/183EDFFF6925D95DC65C5D0CB5D48F4EEC77B7304AD0D56DBAD0FE6A2082092F" TargetMode="External"/><Relationship Id="rId16" Type="http://schemas.openxmlformats.org/officeDocument/2006/relationships/hyperlink" Target="https://bithomp.com/explorer/44A3820849D136E1E746B39EF858A0E5D7C658DDFF0D05C2A21930FD27A174EA" TargetMode="External"/><Relationship Id="rId1" Type="http://schemas.openxmlformats.org/officeDocument/2006/relationships/hyperlink" Target="https://bithomp.com/explorer/89DA6E0506E88DEFB02147D8E2E7C4E531A429CF2C0F17FBF6B4D4A4431648A3" TargetMode="External"/><Relationship Id="rId6" Type="http://schemas.openxmlformats.org/officeDocument/2006/relationships/hyperlink" Target="https://bithomp.com/explorer/704889305D36DF433262F28E79CE91937CA569E011503C87AB0FC82BCCC2F4CA" TargetMode="External"/><Relationship Id="rId11" Type="http://schemas.openxmlformats.org/officeDocument/2006/relationships/hyperlink" Target="https://bithomp.com/explorer/864A7C15A8B6E91BF8A0F4E3140938FA2483A3B55B05B689DAB360360E4CF013" TargetMode="External"/><Relationship Id="rId5" Type="http://schemas.openxmlformats.org/officeDocument/2006/relationships/hyperlink" Target="https://bithomp.com/explorer/6CF6E9B042139AEAC3F03C58EA3F40D8F934935AD52F22AAC440D121986AC864" TargetMode="External"/><Relationship Id="rId15" Type="http://schemas.openxmlformats.org/officeDocument/2006/relationships/hyperlink" Target="https://bithomp.com/explorer/5A2BF0005389C2969265FE30D41D0F74AD0D1032F12F3DFE00D4694FBF67128A" TargetMode="External"/><Relationship Id="rId10" Type="http://schemas.openxmlformats.org/officeDocument/2006/relationships/hyperlink" Target="https://bithomp.com/explorer/B3B9FB2CF3EA0679A0783E8292DFEA8278B62B746CADD2C957A2A2EB8DB715B2" TargetMode="External"/><Relationship Id="rId19" Type="http://schemas.openxmlformats.org/officeDocument/2006/relationships/hyperlink" Target="https://bithomp.com/explorer/EEF584E49FF4E944C471935F760DC932DD866073792F0DAF467D951D0E67B59F" TargetMode="External"/><Relationship Id="rId4" Type="http://schemas.openxmlformats.org/officeDocument/2006/relationships/hyperlink" Target="https://bithomp.com/explorer/2B372258F7200F7B81D0C160CDB258C6FC22178C7DB0F9D84AC8334D16853A79" TargetMode="External"/><Relationship Id="rId9" Type="http://schemas.openxmlformats.org/officeDocument/2006/relationships/hyperlink" Target="https://bithomp.com/explorer/59A4310F3F8B04267CB5F758B44C5125FD0A7BA4AC62AB2F867E8E42BFE26658" TargetMode="External"/><Relationship Id="rId14" Type="http://schemas.openxmlformats.org/officeDocument/2006/relationships/hyperlink" Target="https://bithomp.com/explorer/9A3BA2CB1F3B911F07C18B4CE6B3937EF8DAB5D33857BF3C8C6343D2350227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9A23-7F24-4FD2-8FCC-A9AA645184C5}">
  <sheetPr filterMode="1"/>
  <dimension ref="A1:X88"/>
  <sheetViews>
    <sheetView zoomScale="110" zoomScaleNormal="110" workbookViewId="0">
      <pane ySplit="1" topLeftCell="A69" activePane="bottomLeft" state="frozen"/>
      <selection pane="bottomLeft" activeCell="B80" sqref="B80"/>
    </sheetView>
  </sheetViews>
  <sheetFormatPr baseColWidth="10" defaultColWidth="8.83203125" defaultRowHeight="14" outlineLevelCol="1" x14ac:dyDescent="0.2"/>
  <cols>
    <col min="1" max="1" width="2.33203125" style="9" customWidth="1"/>
    <col min="2" max="3" width="9.83203125" style="4" customWidth="1"/>
    <col min="4" max="4" width="25.33203125" style="9" hidden="1" customWidth="1" outlineLevel="1"/>
    <col min="5" max="5" width="9.1640625" style="9" hidden="1" customWidth="1" outlineLevel="1"/>
    <col min="6" max="6" width="9.5" style="9" hidden="1" customWidth="1" outlineLevel="1"/>
    <col min="7" max="7" width="32" style="3" customWidth="1" collapsed="1"/>
    <col min="8" max="8" width="10.1640625" style="3" bestFit="1" customWidth="1"/>
    <col min="9" max="9" width="8.5" style="5" customWidth="1"/>
    <col min="10" max="10" width="5.5" style="5" customWidth="1"/>
    <col min="11" max="11" width="9" style="5" customWidth="1"/>
    <col min="12" max="12" width="5.33203125" style="3" customWidth="1"/>
    <col min="13" max="13" width="9.1640625" style="5" customWidth="1"/>
    <col min="14" max="14" width="6.5" style="5" customWidth="1"/>
    <col min="15" max="15" width="9" style="5" customWidth="1"/>
    <col min="16" max="16" width="5.5" style="3" customWidth="1"/>
    <col min="17" max="17" width="7.83203125" style="3" customWidth="1"/>
    <col min="18" max="18" width="1.6640625" style="24" customWidth="1"/>
    <col min="19" max="19" width="7.83203125" style="3" customWidth="1"/>
    <col min="20" max="20" width="1.6640625" style="24" customWidth="1"/>
    <col min="21" max="21" width="27.83203125" style="69" customWidth="1"/>
    <col min="22" max="22" width="3" style="3" hidden="1" customWidth="1" outlineLevel="1"/>
    <col min="23" max="23" width="15.5" style="3" hidden="1" customWidth="1" outlineLevel="1"/>
    <col min="24" max="24" width="36.5" style="11" customWidth="1" collapsed="1"/>
    <col min="25" max="16384" width="8.83203125" style="3"/>
  </cols>
  <sheetData>
    <row r="1" spans="1:24" s="2" customFormat="1" ht="52.5" customHeight="1" thickBot="1" x14ac:dyDescent="0.25">
      <c r="A1" s="40" t="s">
        <v>0</v>
      </c>
      <c r="B1" s="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2" t="s">
        <v>6</v>
      </c>
      <c r="H1" s="43" t="s">
        <v>7</v>
      </c>
      <c r="I1" s="44" t="s">
        <v>8</v>
      </c>
      <c r="J1" s="45" t="s">
        <v>9</v>
      </c>
      <c r="K1" s="45" t="s">
        <v>10</v>
      </c>
      <c r="L1" s="43" t="s">
        <v>11</v>
      </c>
      <c r="M1" s="44" t="s">
        <v>8</v>
      </c>
      <c r="N1" s="45" t="s">
        <v>9</v>
      </c>
      <c r="O1" s="45" t="s">
        <v>10</v>
      </c>
      <c r="P1" s="43" t="s">
        <v>11</v>
      </c>
      <c r="Q1" s="81" t="s">
        <v>12</v>
      </c>
      <c r="R1" s="82"/>
      <c r="S1" s="83" t="s">
        <v>13</v>
      </c>
      <c r="T1" s="82"/>
      <c r="U1" s="66" t="s">
        <v>14</v>
      </c>
      <c r="V1" s="46" t="s">
        <v>15</v>
      </c>
      <c r="W1" s="47" t="s">
        <v>16</v>
      </c>
      <c r="X1" s="45" t="s">
        <v>17</v>
      </c>
    </row>
    <row r="2" spans="1:24" s="7" customFormat="1" ht="15" hidden="1" x14ac:dyDescent="0.2">
      <c r="A2" s="48" t="s">
        <v>18</v>
      </c>
      <c r="B2" s="49"/>
      <c r="C2" s="49">
        <v>44824</v>
      </c>
      <c r="D2" s="50"/>
      <c r="E2" s="51"/>
      <c r="F2" s="52"/>
      <c r="G2" s="53" t="s">
        <v>19</v>
      </c>
      <c r="H2" s="54" t="s">
        <v>20</v>
      </c>
      <c r="I2" s="55">
        <v>100.05</v>
      </c>
      <c r="J2" s="56"/>
      <c r="K2" s="56">
        <f>+I2-J2</f>
        <v>100.05</v>
      </c>
      <c r="L2" s="54" t="s">
        <v>21</v>
      </c>
      <c r="M2" s="55"/>
      <c r="N2" s="56"/>
      <c r="O2" s="56">
        <f>+M2-N2</f>
        <v>0</v>
      </c>
      <c r="P2" s="54"/>
      <c r="Q2" s="57"/>
      <c r="R2" s="58"/>
      <c r="S2" s="53"/>
      <c r="T2" s="58"/>
      <c r="U2" s="67"/>
      <c r="V2" s="59"/>
      <c r="W2" s="60"/>
      <c r="X2" s="61" t="s">
        <v>22</v>
      </c>
    </row>
    <row r="3" spans="1:24" s="17" customFormat="1" ht="15" hidden="1" x14ac:dyDescent="0.2">
      <c r="A3" s="8" t="s">
        <v>18</v>
      </c>
      <c r="B3" s="6"/>
      <c r="C3" s="6">
        <v>44824</v>
      </c>
      <c r="D3" s="30"/>
      <c r="E3" s="28"/>
      <c r="F3" s="27"/>
      <c r="G3" s="13" t="s">
        <v>19</v>
      </c>
      <c r="H3" s="33" t="s">
        <v>20</v>
      </c>
      <c r="I3" s="34">
        <v>3300</v>
      </c>
      <c r="J3" s="12"/>
      <c r="K3" s="12">
        <f t="shared" ref="K3:K18" si="0">+K2+I3-J3</f>
        <v>3400.05</v>
      </c>
      <c r="L3" s="33" t="s">
        <v>21</v>
      </c>
      <c r="M3" s="34"/>
      <c r="N3" s="12"/>
      <c r="O3" s="12">
        <f t="shared" ref="O3:O9" si="1">+O2+M3-N3</f>
        <v>0</v>
      </c>
      <c r="P3" s="33"/>
      <c r="Q3" s="38"/>
      <c r="R3" s="14"/>
      <c r="S3" s="13"/>
      <c r="T3" s="14"/>
      <c r="U3" s="68"/>
      <c r="V3" s="15"/>
      <c r="W3" s="10"/>
      <c r="X3" s="19" t="s">
        <v>22</v>
      </c>
    </row>
    <row r="4" spans="1:24" s="7" customFormat="1" ht="15" hidden="1" x14ac:dyDescent="0.2">
      <c r="A4" s="8" t="s">
        <v>18</v>
      </c>
      <c r="B4" s="6"/>
      <c r="C4" s="6">
        <v>44825</v>
      </c>
      <c r="D4" s="30"/>
      <c r="E4" s="28"/>
      <c r="F4" s="27"/>
      <c r="G4" s="13" t="s">
        <v>23</v>
      </c>
      <c r="H4" s="33" t="s">
        <v>24</v>
      </c>
      <c r="I4" s="36">
        <v>-34.796999999999997</v>
      </c>
      <c r="J4" s="12">
        <v>9.0499999999999997E-2</v>
      </c>
      <c r="K4" s="12">
        <f t="shared" si="0"/>
        <v>3365.1625000000004</v>
      </c>
      <c r="L4" s="33" t="s">
        <v>21</v>
      </c>
      <c r="M4" s="35">
        <v>100</v>
      </c>
      <c r="N4" s="12">
        <v>0</v>
      </c>
      <c r="O4" s="12">
        <f t="shared" si="1"/>
        <v>100</v>
      </c>
      <c r="P4" s="33" t="s">
        <v>25</v>
      </c>
      <c r="Q4" s="38"/>
      <c r="R4" s="14" t="s">
        <v>26</v>
      </c>
      <c r="S4" s="13"/>
      <c r="T4" s="14"/>
      <c r="U4" s="13"/>
      <c r="V4" s="15">
        <v>5</v>
      </c>
      <c r="W4" s="10">
        <v>43707</v>
      </c>
      <c r="X4" s="16"/>
    </row>
    <row r="5" spans="1:24" s="7" customFormat="1" ht="15" hidden="1" x14ac:dyDescent="0.2">
      <c r="A5" s="8" t="s">
        <v>18</v>
      </c>
      <c r="B5" s="6"/>
      <c r="C5" s="6">
        <v>44825</v>
      </c>
      <c r="D5" s="31" t="s">
        <v>27</v>
      </c>
      <c r="E5" s="28">
        <v>547786843</v>
      </c>
      <c r="F5" s="29" t="s">
        <v>28</v>
      </c>
      <c r="G5" s="13" t="s">
        <v>29</v>
      </c>
      <c r="H5" s="33" t="s">
        <v>30</v>
      </c>
      <c r="I5" s="34"/>
      <c r="J5" s="12"/>
      <c r="K5" s="12">
        <f t="shared" si="0"/>
        <v>3365.1625000000004</v>
      </c>
      <c r="L5" s="33"/>
      <c r="M5" s="34">
        <v>-99.98</v>
      </c>
      <c r="N5" s="12">
        <v>0.02</v>
      </c>
      <c r="O5" s="12">
        <f t="shared" si="1"/>
        <v>-3.9794556538907955E-15</v>
      </c>
      <c r="P5" s="33" t="s">
        <v>25</v>
      </c>
      <c r="Q5" s="38"/>
      <c r="R5" s="14" t="s">
        <v>26</v>
      </c>
      <c r="S5" s="13"/>
      <c r="T5" s="14"/>
      <c r="U5" s="13"/>
      <c r="V5" s="15">
        <v>5</v>
      </c>
      <c r="W5" s="10">
        <v>43707</v>
      </c>
      <c r="X5" s="16"/>
    </row>
    <row r="6" spans="1:24" s="7" customFormat="1" ht="15" hidden="1" x14ac:dyDescent="0.2">
      <c r="A6" s="8" t="s">
        <v>18</v>
      </c>
      <c r="B6" s="6"/>
      <c r="C6" s="6">
        <v>44825</v>
      </c>
      <c r="D6" s="30"/>
      <c r="E6" s="28"/>
      <c r="F6" s="27"/>
      <c r="G6" s="13" t="s">
        <v>23</v>
      </c>
      <c r="H6" s="33" t="s">
        <v>24</v>
      </c>
      <c r="I6" s="36">
        <v>-1716.3447000000001</v>
      </c>
      <c r="J6" s="12">
        <v>4.4625000000000004</v>
      </c>
      <c r="K6" s="12">
        <f t="shared" si="0"/>
        <v>1644.3553000000002</v>
      </c>
      <c r="L6" s="33" t="s">
        <v>21</v>
      </c>
      <c r="M6" s="35">
        <v>4900</v>
      </c>
      <c r="N6" s="12">
        <v>0</v>
      </c>
      <c r="O6" s="12">
        <f t="shared" si="1"/>
        <v>4900</v>
      </c>
      <c r="P6" s="33" t="s">
        <v>25</v>
      </c>
      <c r="Q6" s="38"/>
      <c r="R6" s="14" t="s">
        <v>26</v>
      </c>
      <c r="S6" s="13"/>
      <c r="T6" s="14"/>
      <c r="U6" s="13"/>
      <c r="V6" s="15"/>
      <c r="W6" s="10"/>
      <c r="X6" s="16"/>
    </row>
    <row r="7" spans="1:24" s="7" customFormat="1" ht="15" hidden="1" x14ac:dyDescent="0.2">
      <c r="A7" s="8" t="s">
        <v>18</v>
      </c>
      <c r="B7" s="6"/>
      <c r="C7" s="6">
        <v>44825</v>
      </c>
      <c r="D7" s="31" t="s">
        <v>27</v>
      </c>
      <c r="E7" s="28">
        <v>547786843</v>
      </c>
      <c r="F7" s="29" t="s">
        <v>31</v>
      </c>
      <c r="G7" s="13" t="s">
        <v>29</v>
      </c>
      <c r="H7" s="33" t="s">
        <v>30</v>
      </c>
      <c r="I7" s="34"/>
      <c r="J7" s="12"/>
      <c r="K7" s="12">
        <f t="shared" si="0"/>
        <v>1644.3553000000002</v>
      </c>
      <c r="L7" s="33"/>
      <c r="M7" s="34">
        <v>-4899.9799999999996</v>
      </c>
      <c r="N7" s="12">
        <v>0.02</v>
      </c>
      <c r="O7" s="12">
        <f t="shared" si="1"/>
        <v>4.3655704051737132E-13</v>
      </c>
      <c r="P7" s="33" t="s">
        <v>25</v>
      </c>
      <c r="Q7" s="38"/>
      <c r="R7" s="14" t="s">
        <v>26</v>
      </c>
      <c r="S7" s="13"/>
      <c r="T7" s="14"/>
      <c r="U7" s="13"/>
      <c r="V7" s="15"/>
      <c r="W7" s="10"/>
      <c r="X7" s="16"/>
    </row>
    <row r="8" spans="1:24" s="7" customFormat="1" ht="15" hidden="1" x14ac:dyDescent="0.2">
      <c r="A8" s="8" t="s">
        <v>18</v>
      </c>
      <c r="B8" s="22"/>
      <c r="C8" s="22">
        <v>44825</v>
      </c>
      <c r="D8" s="30"/>
      <c r="E8" s="28"/>
      <c r="F8" s="27"/>
      <c r="G8" s="13" t="s">
        <v>23</v>
      </c>
      <c r="H8" s="33" t="s">
        <v>24</v>
      </c>
      <c r="I8" s="36">
        <v>-1585.7103999999999</v>
      </c>
      <c r="J8" s="12">
        <v>4.1227999999999998</v>
      </c>
      <c r="K8" s="12">
        <f t="shared" si="0"/>
        <v>54.522100000000236</v>
      </c>
      <c r="L8" s="33" t="s">
        <v>21</v>
      </c>
      <c r="M8" s="35">
        <v>4500</v>
      </c>
      <c r="N8" s="12">
        <v>0</v>
      </c>
      <c r="O8" s="12">
        <f t="shared" si="1"/>
        <v>4500</v>
      </c>
      <c r="P8" s="33" t="s">
        <v>25</v>
      </c>
      <c r="Q8" s="74"/>
      <c r="R8" s="14" t="s">
        <v>26</v>
      </c>
      <c r="S8" s="13"/>
      <c r="T8" s="14"/>
      <c r="U8" s="13"/>
      <c r="V8" s="15"/>
      <c r="W8" s="10"/>
      <c r="X8" s="16"/>
    </row>
    <row r="9" spans="1:24" s="7" customFormat="1" ht="15" hidden="1" x14ac:dyDescent="0.2">
      <c r="A9" s="8" t="s">
        <v>18</v>
      </c>
      <c r="B9" s="6">
        <v>44844</v>
      </c>
      <c r="C9" s="6">
        <v>44825</v>
      </c>
      <c r="D9" s="31" t="s">
        <v>27</v>
      </c>
      <c r="E9" s="28">
        <v>547786843</v>
      </c>
      <c r="F9" s="29" t="s">
        <v>32</v>
      </c>
      <c r="G9" s="13" t="s">
        <v>29</v>
      </c>
      <c r="H9" s="33" t="s">
        <v>30</v>
      </c>
      <c r="I9" s="34"/>
      <c r="J9" s="12"/>
      <c r="K9" s="12">
        <f t="shared" si="0"/>
        <v>54.522100000000236</v>
      </c>
      <c r="L9" s="33"/>
      <c r="M9" s="34">
        <v>-4499.9799999999996</v>
      </c>
      <c r="N9" s="12">
        <v>0.02</v>
      </c>
      <c r="O9" s="12">
        <f t="shared" si="1"/>
        <v>4.3655704051737132E-13</v>
      </c>
      <c r="P9" s="33" t="s">
        <v>25</v>
      </c>
      <c r="Q9" s="39">
        <f>-(I4+I6+I8)</f>
        <v>3336.8521000000001</v>
      </c>
      <c r="R9" s="14" t="s">
        <v>26</v>
      </c>
      <c r="S9" s="13"/>
      <c r="T9" s="14"/>
      <c r="U9" s="13" t="s">
        <v>33</v>
      </c>
      <c r="V9" s="15"/>
      <c r="W9" s="10"/>
      <c r="X9" s="16"/>
    </row>
    <row r="10" spans="1:24" s="7" customFormat="1" ht="15" hidden="1" x14ac:dyDescent="0.2">
      <c r="A10" s="8" t="s">
        <v>18</v>
      </c>
      <c r="B10" s="6"/>
      <c r="C10" s="6">
        <v>44833</v>
      </c>
      <c r="D10" s="30"/>
      <c r="E10" s="28"/>
      <c r="F10" s="27"/>
      <c r="G10" s="13" t="s">
        <v>19</v>
      </c>
      <c r="H10" s="33" t="s">
        <v>20</v>
      </c>
      <c r="I10" s="34">
        <v>100</v>
      </c>
      <c r="J10" s="12"/>
      <c r="K10" s="12">
        <f t="shared" si="0"/>
        <v>154.52210000000025</v>
      </c>
      <c r="L10" s="33" t="s">
        <v>21</v>
      </c>
      <c r="M10" s="34"/>
      <c r="N10" s="12"/>
      <c r="O10" s="12">
        <f t="shared" ref="O10:O12" si="2">+O9+M10-N10</f>
        <v>4.3655704051737132E-13</v>
      </c>
      <c r="P10" s="33"/>
      <c r="Q10" s="38"/>
      <c r="R10" s="14"/>
      <c r="S10" s="13"/>
      <c r="T10" s="14"/>
      <c r="U10" s="68"/>
      <c r="V10" s="15"/>
      <c r="W10" s="10"/>
      <c r="X10" s="19" t="s">
        <v>22</v>
      </c>
    </row>
    <row r="11" spans="1:24" s="7" customFormat="1" ht="15" hidden="1" x14ac:dyDescent="0.2">
      <c r="A11" s="8" t="s">
        <v>18</v>
      </c>
      <c r="B11" s="23"/>
      <c r="C11" s="23">
        <v>44833</v>
      </c>
      <c r="D11" s="30"/>
      <c r="E11" s="28"/>
      <c r="F11" s="27"/>
      <c r="G11" s="13" t="s">
        <v>23</v>
      </c>
      <c r="H11" s="33" t="s">
        <v>24</v>
      </c>
      <c r="I11" s="37">
        <v>-152.32579999999999</v>
      </c>
      <c r="J11" s="12">
        <v>0.39610000000000001</v>
      </c>
      <c r="K11" s="12">
        <f t="shared" si="0"/>
        <v>1.8002000000002636</v>
      </c>
      <c r="L11" s="33" t="s">
        <v>21</v>
      </c>
      <c r="M11" s="35">
        <v>375</v>
      </c>
      <c r="N11" s="12">
        <v>0</v>
      </c>
      <c r="O11" s="12">
        <f t="shared" si="2"/>
        <v>375.00000000000045</v>
      </c>
      <c r="P11" s="33" t="s">
        <v>25</v>
      </c>
      <c r="Q11" s="74"/>
      <c r="R11" s="14"/>
      <c r="S11" s="17"/>
      <c r="T11" s="14" t="s">
        <v>26</v>
      </c>
      <c r="U11" s="13"/>
      <c r="V11" s="15"/>
      <c r="W11" s="10"/>
      <c r="X11" s="19"/>
    </row>
    <row r="12" spans="1:24" s="7" customFormat="1" ht="15" hidden="1" x14ac:dyDescent="0.2">
      <c r="A12" s="8" t="s">
        <v>18</v>
      </c>
      <c r="B12" s="6">
        <v>44844</v>
      </c>
      <c r="C12" s="6">
        <v>44833</v>
      </c>
      <c r="D12" s="31" t="s">
        <v>27</v>
      </c>
      <c r="E12" s="28">
        <v>442734179</v>
      </c>
      <c r="F12" s="29" t="s">
        <v>34</v>
      </c>
      <c r="G12" s="13" t="s">
        <v>35</v>
      </c>
      <c r="H12" s="33" t="s">
        <v>30</v>
      </c>
      <c r="I12" s="34"/>
      <c r="J12" s="12"/>
      <c r="K12" s="12">
        <f t="shared" si="0"/>
        <v>1.8002000000002636</v>
      </c>
      <c r="L12" s="33"/>
      <c r="M12" s="34">
        <v>-374.98</v>
      </c>
      <c r="N12" s="12">
        <v>0.02</v>
      </c>
      <c r="O12" s="12">
        <f t="shared" si="2"/>
        <v>4.3655704051737132E-13</v>
      </c>
      <c r="P12" s="33" t="s">
        <v>25</v>
      </c>
      <c r="Q12" s="38"/>
      <c r="R12" s="14" t="s">
        <v>26</v>
      </c>
      <c r="S12" s="25">
        <f>-I11</f>
        <v>152.32579999999999</v>
      </c>
      <c r="T12" s="14" t="s">
        <v>26</v>
      </c>
      <c r="U12" s="13" t="s">
        <v>36</v>
      </c>
      <c r="V12" s="15"/>
      <c r="W12" s="10"/>
      <c r="X12" s="16"/>
    </row>
    <row r="13" spans="1:24" s="7" customFormat="1" ht="15" hidden="1" x14ac:dyDescent="0.2">
      <c r="A13" s="8" t="s">
        <v>18</v>
      </c>
      <c r="B13" s="6"/>
      <c r="C13" s="6">
        <v>44841</v>
      </c>
      <c r="D13" s="30"/>
      <c r="E13" s="28"/>
      <c r="F13" s="27"/>
      <c r="G13" s="13" t="s">
        <v>19</v>
      </c>
      <c r="H13" s="33" t="s">
        <v>20</v>
      </c>
      <c r="I13" s="34">
        <v>3300</v>
      </c>
      <c r="J13" s="12"/>
      <c r="K13" s="12">
        <f t="shared" si="0"/>
        <v>3301.8002000000001</v>
      </c>
      <c r="L13" s="33" t="s">
        <v>21</v>
      </c>
      <c r="M13" s="34"/>
      <c r="N13" s="12"/>
      <c r="O13" s="12">
        <f t="shared" ref="O13:O16" si="3">+O12+M13-N13</f>
        <v>4.3655704051737132E-13</v>
      </c>
      <c r="P13" s="33"/>
      <c r="Q13" s="38"/>
      <c r="R13" s="14"/>
      <c r="S13" s="13"/>
      <c r="T13" s="14"/>
      <c r="U13" s="68"/>
      <c r="V13" s="15"/>
      <c r="W13" s="10"/>
      <c r="X13" s="19" t="s">
        <v>22</v>
      </c>
    </row>
    <row r="14" spans="1:24" s="7" customFormat="1" ht="15" hidden="1" x14ac:dyDescent="0.2">
      <c r="A14" s="8" t="s">
        <v>18</v>
      </c>
      <c r="B14" s="6"/>
      <c r="C14" s="6">
        <v>44841</v>
      </c>
      <c r="D14" s="30"/>
      <c r="E14" s="28"/>
      <c r="F14" s="27"/>
      <c r="G14" s="13" t="s">
        <v>23</v>
      </c>
      <c r="H14" s="33" t="s">
        <v>24</v>
      </c>
      <c r="I14" s="36">
        <v>-1808.0890999999999</v>
      </c>
      <c r="J14" s="12">
        <v>4.7009999999999996</v>
      </c>
      <c r="K14" s="12">
        <f t="shared" si="0"/>
        <v>1489.0101000000002</v>
      </c>
      <c r="L14" s="33" t="s">
        <v>21</v>
      </c>
      <c r="M14" s="35">
        <v>4000.02</v>
      </c>
      <c r="N14" s="12">
        <v>0</v>
      </c>
      <c r="O14" s="12">
        <f t="shared" si="3"/>
        <v>4000.0200000000004</v>
      </c>
      <c r="P14" s="33" t="s">
        <v>25</v>
      </c>
      <c r="Q14" s="38"/>
      <c r="R14" s="14" t="s">
        <v>26</v>
      </c>
      <c r="S14" s="13"/>
      <c r="T14" s="14"/>
      <c r="U14" s="13"/>
      <c r="V14" s="15"/>
      <c r="W14" s="10"/>
      <c r="X14" s="19"/>
    </row>
    <row r="15" spans="1:24" s="7" customFormat="1" ht="15" hidden="1" x14ac:dyDescent="0.2">
      <c r="A15" s="8" t="s">
        <v>18</v>
      </c>
      <c r="B15" s="6"/>
      <c r="C15" s="22">
        <v>44841</v>
      </c>
      <c r="D15" s="30"/>
      <c r="E15" s="28"/>
      <c r="F15" s="27"/>
      <c r="G15" s="13" t="s">
        <v>23</v>
      </c>
      <c r="H15" s="33" t="s">
        <v>24</v>
      </c>
      <c r="I15" s="36">
        <v>-1486.0731000000001</v>
      </c>
      <c r="J15" s="12">
        <v>0.35099999999999998</v>
      </c>
      <c r="K15" s="12">
        <f t="shared" si="0"/>
        <v>2.5860000000001255</v>
      </c>
      <c r="L15" s="33" t="s">
        <v>21</v>
      </c>
      <c r="M15" s="35">
        <v>3280.02</v>
      </c>
      <c r="N15" s="12">
        <v>7.7541987900000002</v>
      </c>
      <c r="O15" s="12">
        <f t="shared" si="3"/>
        <v>7272.2858012100005</v>
      </c>
      <c r="P15" s="33" t="s">
        <v>25</v>
      </c>
      <c r="Q15" s="38"/>
      <c r="R15" s="14" t="s">
        <v>26</v>
      </c>
      <c r="S15" s="13"/>
      <c r="T15" s="14"/>
      <c r="U15" s="13"/>
      <c r="V15" s="15"/>
      <c r="W15" s="10"/>
      <c r="X15" s="19"/>
    </row>
    <row r="16" spans="1:24" s="7" customFormat="1" ht="15" hidden="1" x14ac:dyDescent="0.2">
      <c r="A16" s="8" t="s">
        <v>18</v>
      </c>
      <c r="B16" s="6">
        <v>44844</v>
      </c>
      <c r="C16" s="6">
        <v>44841</v>
      </c>
      <c r="D16" s="31" t="s">
        <v>27</v>
      </c>
      <c r="E16" s="28">
        <v>547786843</v>
      </c>
      <c r="F16" s="29" t="s">
        <v>37</v>
      </c>
      <c r="G16" s="13" t="s">
        <v>29</v>
      </c>
      <c r="H16" s="33" t="s">
        <v>30</v>
      </c>
      <c r="I16" s="34"/>
      <c r="J16" s="12"/>
      <c r="K16" s="12">
        <f t="shared" si="0"/>
        <v>2.5860000000001255</v>
      </c>
      <c r="L16" s="33"/>
      <c r="M16" s="34">
        <v>-7270.02</v>
      </c>
      <c r="N16" s="12">
        <v>0.02</v>
      </c>
      <c r="O16" s="12">
        <f t="shared" si="3"/>
        <v>2.2458012100000633</v>
      </c>
      <c r="P16" s="33" t="s">
        <v>25</v>
      </c>
      <c r="Q16" s="39">
        <f>-(I14+I15)</f>
        <v>3294.1621999999998</v>
      </c>
      <c r="R16" s="14" t="s">
        <v>26</v>
      </c>
      <c r="S16" s="13"/>
      <c r="T16" s="14"/>
      <c r="U16" s="13" t="s">
        <v>33</v>
      </c>
      <c r="V16" s="15"/>
      <c r="W16" s="10"/>
      <c r="X16" s="16"/>
    </row>
    <row r="17" spans="1:24" s="7" customFormat="1" ht="15" hidden="1" x14ac:dyDescent="0.2">
      <c r="A17" s="8" t="s">
        <v>18</v>
      </c>
      <c r="B17" s="6"/>
      <c r="C17" s="6">
        <v>44842</v>
      </c>
      <c r="D17" s="30"/>
      <c r="E17" s="28"/>
      <c r="F17" s="27"/>
      <c r="G17" s="13" t="s">
        <v>19</v>
      </c>
      <c r="H17" s="33" t="s">
        <v>20</v>
      </c>
      <c r="I17" s="34">
        <v>525</v>
      </c>
      <c r="J17" s="12"/>
      <c r="K17" s="12">
        <f t="shared" si="0"/>
        <v>527.58600000000013</v>
      </c>
      <c r="L17" s="33" t="s">
        <v>21</v>
      </c>
      <c r="M17" s="34"/>
      <c r="N17" s="12"/>
      <c r="O17" s="12">
        <f t="shared" ref="O17:O19" si="4">+O16+M17-N17</f>
        <v>2.2458012100000633</v>
      </c>
      <c r="P17" s="33"/>
      <c r="Q17" s="38"/>
      <c r="R17" s="14"/>
      <c r="S17" s="13"/>
      <c r="T17" s="14"/>
      <c r="U17" s="68"/>
      <c r="V17" s="15"/>
      <c r="W17" s="10"/>
      <c r="X17" s="19" t="s">
        <v>22</v>
      </c>
    </row>
    <row r="18" spans="1:24" s="7" customFormat="1" ht="15" hidden="1" x14ac:dyDescent="0.2">
      <c r="A18" s="8" t="s">
        <v>18</v>
      </c>
      <c r="B18" s="6"/>
      <c r="C18" s="23">
        <v>44842</v>
      </c>
      <c r="D18" s="30"/>
      <c r="E18" s="28"/>
      <c r="F18" s="27"/>
      <c r="G18" s="13" t="s">
        <v>23</v>
      </c>
      <c r="H18" s="33" t="s">
        <v>24</v>
      </c>
      <c r="I18" s="37">
        <v>-520.65189999999996</v>
      </c>
      <c r="J18" s="12">
        <v>1.3536999999999999</v>
      </c>
      <c r="K18" s="12">
        <f t="shared" si="0"/>
        <v>5.5804000000001714</v>
      </c>
      <c r="L18" s="33" t="s">
        <v>21</v>
      </c>
      <c r="M18" s="35">
        <v>1110.02</v>
      </c>
      <c r="N18" s="12">
        <v>0</v>
      </c>
      <c r="O18" s="12">
        <f t="shared" si="4"/>
        <v>1112.2658012100001</v>
      </c>
      <c r="P18" s="33" t="s">
        <v>25</v>
      </c>
      <c r="Q18" s="38"/>
      <c r="R18" s="14"/>
      <c r="S18" s="13"/>
      <c r="T18" s="14" t="s">
        <v>26</v>
      </c>
      <c r="U18" s="13"/>
      <c r="V18" s="15"/>
      <c r="W18" s="10"/>
      <c r="X18" s="19"/>
    </row>
    <row r="19" spans="1:24" s="7" customFormat="1" ht="15" hidden="1" x14ac:dyDescent="0.2">
      <c r="A19" s="8" t="s">
        <v>18</v>
      </c>
      <c r="B19" s="6">
        <v>44844</v>
      </c>
      <c r="C19" s="6">
        <v>44842</v>
      </c>
      <c r="D19" s="31" t="s">
        <v>27</v>
      </c>
      <c r="E19" s="28">
        <v>442734179</v>
      </c>
      <c r="F19" s="29" t="s">
        <v>38</v>
      </c>
      <c r="G19" s="13" t="s">
        <v>35</v>
      </c>
      <c r="H19" s="33" t="s">
        <v>30</v>
      </c>
      <c r="I19" s="34"/>
      <c r="J19" s="12"/>
      <c r="K19" s="12">
        <f>+K18+I19-J19</f>
        <v>5.5804000000001714</v>
      </c>
      <c r="L19" s="33"/>
      <c r="M19" s="34">
        <v>-1110</v>
      </c>
      <c r="N19" s="12">
        <v>0.02</v>
      </c>
      <c r="O19" s="12">
        <f t="shared" si="4"/>
        <v>2.2458012100000633</v>
      </c>
      <c r="P19" s="33" t="s">
        <v>25</v>
      </c>
      <c r="Q19" s="38"/>
      <c r="R19" s="14" t="s">
        <v>26</v>
      </c>
      <c r="S19" s="25">
        <f>-I18</f>
        <v>520.65189999999996</v>
      </c>
      <c r="T19" s="14" t="s">
        <v>26</v>
      </c>
      <c r="U19" s="13" t="s">
        <v>36</v>
      </c>
      <c r="V19" s="15"/>
      <c r="W19" s="10"/>
      <c r="X19" s="16"/>
    </row>
    <row r="20" spans="1:24" s="17" customFormat="1" ht="15" hidden="1" x14ac:dyDescent="0.2">
      <c r="A20" s="8" t="s">
        <v>18</v>
      </c>
      <c r="B20" s="6">
        <v>44844</v>
      </c>
      <c r="C20" s="6">
        <v>44842</v>
      </c>
      <c r="D20" s="30"/>
      <c r="E20" s="28"/>
      <c r="F20" s="27"/>
      <c r="G20" s="13" t="s">
        <v>39</v>
      </c>
      <c r="H20" s="33"/>
      <c r="I20" s="34"/>
      <c r="J20" s="62">
        <f>SUM(J4:J19)</f>
        <v>15.477599999999999</v>
      </c>
      <c r="K20" s="12"/>
      <c r="L20" s="33"/>
      <c r="M20" s="34"/>
      <c r="N20" s="62">
        <f>SUM(N4:N19)</f>
        <v>7.8741987899999994</v>
      </c>
      <c r="O20" s="12"/>
      <c r="P20" s="33"/>
      <c r="Q20" s="38"/>
      <c r="R20" s="14"/>
      <c r="S20" s="13"/>
      <c r="T20" s="14"/>
      <c r="U20" s="13" t="s">
        <v>40</v>
      </c>
      <c r="V20" s="15"/>
      <c r="W20" s="10"/>
      <c r="X20" s="16"/>
    </row>
    <row r="21" spans="1:24" s="7" customFormat="1" ht="15" hidden="1" x14ac:dyDescent="0.2">
      <c r="A21" s="8" t="s">
        <v>18</v>
      </c>
      <c r="B21" s="6"/>
      <c r="C21" s="6">
        <v>44846</v>
      </c>
      <c r="D21" s="30"/>
      <c r="E21" s="28"/>
      <c r="F21" s="27"/>
      <c r="G21" s="13" t="s">
        <v>19</v>
      </c>
      <c r="H21" s="33" t="s">
        <v>20</v>
      </c>
      <c r="I21" s="34">
        <v>2205</v>
      </c>
      <c r="J21" s="32"/>
      <c r="K21" s="12">
        <f>+K19+I21-J21</f>
        <v>2210.5804000000003</v>
      </c>
      <c r="L21" s="33" t="s">
        <v>21</v>
      </c>
      <c r="M21" s="34"/>
      <c r="N21" s="12"/>
      <c r="O21" s="12">
        <f>+O19+M21-N21</f>
        <v>2.2458012100000633</v>
      </c>
      <c r="P21" s="33"/>
      <c r="Q21" s="38"/>
      <c r="R21" s="14"/>
      <c r="S21" s="13"/>
      <c r="T21" s="14"/>
      <c r="U21" s="68"/>
      <c r="V21" s="15"/>
      <c r="W21" s="10"/>
      <c r="X21" s="19" t="s">
        <v>22</v>
      </c>
    </row>
    <row r="22" spans="1:24" s="7" customFormat="1" ht="15" hidden="1" x14ac:dyDescent="0.2">
      <c r="A22" s="8" t="s">
        <v>18</v>
      </c>
      <c r="B22" s="6"/>
      <c r="C22" s="23">
        <v>44846</v>
      </c>
      <c r="D22" s="30"/>
      <c r="E22" s="28"/>
      <c r="F22" s="27"/>
      <c r="G22" s="13" t="s">
        <v>23</v>
      </c>
      <c r="H22" s="33" t="s">
        <v>24</v>
      </c>
      <c r="I22" s="37">
        <v>-2206.0574000000001</v>
      </c>
      <c r="J22" s="12">
        <v>3.8092000000000001</v>
      </c>
      <c r="K22" s="12">
        <f t="shared" ref="K22:K27" si="5">+K21+I22-J22</f>
        <v>0.7138000000001381</v>
      </c>
      <c r="L22" s="33" t="s">
        <v>21</v>
      </c>
      <c r="M22" s="35">
        <v>5000.0200000000004</v>
      </c>
      <c r="N22" s="12">
        <v>4.36758062</v>
      </c>
      <c r="O22" s="12">
        <f>+O21+M22-N22</f>
        <v>4997.8982205900002</v>
      </c>
      <c r="P22" s="33" t="s">
        <v>25</v>
      </c>
      <c r="Q22" s="38"/>
      <c r="R22" s="14" t="s">
        <v>26</v>
      </c>
      <c r="S22" s="13"/>
      <c r="T22" s="14"/>
      <c r="U22" s="13"/>
      <c r="V22" s="15"/>
      <c r="W22" s="10"/>
      <c r="X22" s="19"/>
    </row>
    <row r="23" spans="1:24" s="7" customFormat="1" ht="15" hidden="1" x14ac:dyDescent="0.2">
      <c r="A23" s="8" t="s">
        <v>18</v>
      </c>
      <c r="B23" s="6">
        <v>44844</v>
      </c>
      <c r="C23" s="6">
        <v>44846</v>
      </c>
      <c r="D23" s="31" t="s">
        <v>27</v>
      </c>
      <c r="E23" s="28">
        <v>547786843</v>
      </c>
      <c r="F23" s="26" t="s">
        <v>41</v>
      </c>
      <c r="G23" s="13" t="s">
        <v>29</v>
      </c>
      <c r="H23" s="33" t="s">
        <v>30</v>
      </c>
      <c r="I23" s="34"/>
      <c r="J23" s="12"/>
      <c r="K23" s="12">
        <f t="shared" si="5"/>
        <v>0.7138000000001381</v>
      </c>
      <c r="L23" s="33"/>
      <c r="M23" s="34">
        <v>-4995</v>
      </c>
      <c r="N23" s="12">
        <v>0.02</v>
      </c>
      <c r="O23" s="12">
        <f t="shared" ref="O23:O27" si="6">+O22+M23-N23</f>
        <v>2.8782205900001645</v>
      </c>
      <c r="P23" s="33" t="s">
        <v>25</v>
      </c>
      <c r="Q23" s="39">
        <f>-(I22)</f>
        <v>2206.0574000000001</v>
      </c>
      <c r="R23" s="14" t="s">
        <v>26</v>
      </c>
      <c r="S23" s="13"/>
      <c r="T23" s="14"/>
      <c r="U23" s="13" t="s">
        <v>33</v>
      </c>
      <c r="V23" s="15"/>
      <c r="W23" s="10"/>
      <c r="X23" s="16"/>
    </row>
    <row r="24" spans="1:24" s="7" customFormat="1" ht="15" hidden="1" x14ac:dyDescent="0.2">
      <c r="A24" s="8" t="s">
        <v>18</v>
      </c>
      <c r="B24" s="6"/>
      <c r="C24" s="6">
        <v>44855</v>
      </c>
      <c r="D24" s="30"/>
      <c r="E24" s="28"/>
      <c r="F24" s="27"/>
      <c r="G24" s="13" t="s">
        <v>19</v>
      </c>
      <c r="H24" s="33" t="s">
        <v>20</v>
      </c>
      <c r="I24" s="34">
        <v>100</v>
      </c>
      <c r="J24" s="12"/>
      <c r="K24" s="12">
        <f t="shared" si="5"/>
        <v>100.71380000000013</v>
      </c>
      <c r="L24" s="33" t="s">
        <v>21</v>
      </c>
      <c r="M24" s="34"/>
      <c r="N24" s="12"/>
      <c r="O24" s="12">
        <f t="shared" si="6"/>
        <v>2.8782205900001645</v>
      </c>
      <c r="P24" s="33"/>
      <c r="Q24" s="38"/>
      <c r="R24" s="14"/>
      <c r="S24" s="13"/>
      <c r="T24" s="14"/>
      <c r="U24" s="68"/>
      <c r="V24" s="15"/>
      <c r="W24" s="10"/>
      <c r="X24" s="19" t="s">
        <v>22</v>
      </c>
    </row>
    <row r="25" spans="1:24" s="7" customFormat="1" ht="15" hidden="1" x14ac:dyDescent="0.2">
      <c r="A25" s="8" t="s">
        <v>18</v>
      </c>
      <c r="B25" s="6"/>
      <c r="C25" s="23">
        <v>44855</v>
      </c>
      <c r="D25" s="30"/>
      <c r="E25" s="28"/>
      <c r="F25" s="27"/>
      <c r="G25" s="13" t="s">
        <v>23</v>
      </c>
      <c r="H25" s="33" t="s">
        <v>24</v>
      </c>
      <c r="I25" s="37">
        <v>-99.980999999999995</v>
      </c>
      <c r="J25" s="12">
        <v>0.26</v>
      </c>
      <c r="K25" s="12">
        <f t="shared" si="5"/>
        <v>0.47280000000013955</v>
      </c>
      <c r="L25" s="33" t="s">
        <v>21</v>
      </c>
      <c r="M25" s="35">
        <v>252</v>
      </c>
      <c r="N25" s="12">
        <v>0</v>
      </c>
      <c r="O25" s="12">
        <f t="shared" si="6"/>
        <v>254.87822059000015</v>
      </c>
      <c r="P25" s="33" t="s">
        <v>25</v>
      </c>
      <c r="Q25" s="38"/>
      <c r="R25" s="14"/>
      <c r="S25" s="13"/>
      <c r="T25" s="14" t="s">
        <v>26</v>
      </c>
      <c r="U25" s="13"/>
      <c r="V25" s="15"/>
      <c r="W25" s="10"/>
      <c r="X25" s="19"/>
    </row>
    <row r="26" spans="1:24" s="7" customFormat="1" ht="15" hidden="1" x14ac:dyDescent="0.2">
      <c r="A26" s="8" t="s">
        <v>18</v>
      </c>
      <c r="B26" s="6">
        <v>44844</v>
      </c>
      <c r="C26" s="6">
        <v>44855</v>
      </c>
      <c r="D26" s="31" t="s">
        <v>27</v>
      </c>
      <c r="E26" s="28">
        <v>442734179</v>
      </c>
      <c r="F26" s="26" t="s">
        <v>42</v>
      </c>
      <c r="G26" s="13" t="s">
        <v>35</v>
      </c>
      <c r="H26" s="33" t="s">
        <v>30</v>
      </c>
      <c r="I26" s="34"/>
      <c r="J26" s="12"/>
      <c r="K26" s="12">
        <f t="shared" si="5"/>
        <v>0.47280000000013955</v>
      </c>
      <c r="L26" s="33"/>
      <c r="M26" s="34">
        <v>-250</v>
      </c>
      <c r="N26" s="12">
        <v>0.02</v>
      </c>
      <c r="O26" s="12">
        <f t="shared" si="6"/>
        <v>4.8582205900001547</v>
      </c>
      <c r="P26" s="33" t="s">
        <v>25</v>
      </c>
      <c r="Q26" s="38"/>
      <c r="R26" s="14" t="s">
        <v>26</v>
      </c>
      <c r="S26" s="25">
        <f>-I25</f>
        <v>99.980999999999995</v>
      </c>
      <c r="T26" s="14" t="s">
        <v>26</v>
      </c>
      <c r="U26" s="13" t="s">
        <v>36</v>
      </c>
      <c r="V26" s="15"/>
      <c r="W26" s="10"/>
      <c r="X26" s="16"/>
    </row>
    <row r="27" spans="1:24" s="7" customFormat="1" ht="15" hidden="1" x14ac:dyDescent="0.2">
      <c r="A27" s="8" t="s">
        <v>18</v>
      </c>
      <c r="B27" s="6"/>
      <c r="C27" s="6">
        <v>44872</v>
      </c>
      <c r="D27" s="30"/>
      <c r="E27" s="28"/>
      <c r="F27" s="27"/>
      <c r="G27" s="13" t="s">
        <v>19</v>
      </c>
      <c r="H27" s="33" t="s">
        <v>20</v>
      </c>
      <c r="I27" s="34">
        <v>5000</v>
      </c>
      <c r="J27" s="32"/>
      <c r="K27" s="12">
        <f t="shared" si="5"/>
        <v>5000.4728000000005</v>
      </c>
      <c r="L27" s="33" t="s">
        <v>21</v>
      </c>
      <c r="M27" s="34"/>
      <c r="N27" s="12"/>
      <c r="O27" s="12">
        <f t="shared" si="6"/>
        <v>4.8582205900001547</v>
      </c>
      <c r="P27" s="33"/>
      <c r="Q27" s="38"/>
      <c r="R27" s="14"/>
      <c r="S27" s="13"/>
      <c r="T27" s="14"/>
      <c r="U27" s="68"/>
      <c r="V27" s="15"/>
      <c r="W27" s="10"/>
      <c r="X27" s="19" t="s">
        <v>22</v>
      </c>
    </row>
    <row r="28" spans="1:24" s="7" customFormat="1" ht="15" hidden="1" x14ac:dyDescent="0.2">
      <c r="A28" s="8" t="s">
        <v>18</v>
      </c>
      <c r="B28" s="6"/>
      <c r="C28" s="23">
        <v>44872</v>
      </c>
      <c r="D28" s="30"/>
      <c r="E28" s="28"/>
      <c r="F28" s="27"/>
      <c r="G28" s="13" t="s">
        <v>23</v>
      </c>
      <c r="H28" s="33" t="s">
        <v>24</v>
      </c>
      <c r="I28" s="37">
        <v>-5000.4727999999996</v>
      </c>
      <c r="J28" s="12">
        <v>0</v>
      </c>
      <c r="K28" s="12">
        <f t="shared" ref="K28" si="7">+K27+I28-J28</f>
        <v>9.0949470177292824E-13</v>
      </c>
      <c r="L28" s="33" t="s">
        <v>21</v>
      </c>
      <c r="M28" s="35">
        <v>12112.74435811</v>
      </c>
      <c r="N28" s="12">
        <v>31.493135859999999</v>
      </c>
      <c r="O28" s="12">
        <f>+O27+M28-N28</f>
        <v>12086.109442839999</v>
      </c>
      <c r="P28" s="33" t="s">
        <v>25</v>
      </c>
      <c r="Q28" s="38"/>
      <c r="R28" s="14" t="s">
        <v>26</v>
      </c>
      <c r="S28" s="13"/>
      <c r="T28" s="14"/>
      <c r="U28" s="13"/>
      <c r="V28" s="15"/>
      <c r="W28" s="10"/>
      <c r="X28" s="19"/>
    </row>
    <row r="29" spans="1:24" s="7" customFormat="1" ht="15" hidden="1" x14ac:dyDescent="0.2">
      <c r="A29" s="8" t="s">
        <v>18</v>
      </c>
      <c r="B29" s="6">
        <v>44888</v>
      </c>
      <c r="C29" s="6">
        <v>44872</v>
      </c>
      <c r="D29" s="31" t="s">
        <v>27</v>
      </c>
      <c r="E29" s="28">
        <v>547786843</v>
      </c>
      <c r="F29" s="26" t="s">
        <v>43</v>
      </c>
      <c r="G29" s="13" t="s">
        <v>29</v>
      </c>
      <c r="H29" s="33" t="s">
        <v>30</v>
      </c>
      <c r="I29" s="34"/>
      <c r="J29" s="12"/>
      <c r="K29" s="12">
        <f>+K28+I29-J29</f>
        <v>9.0949470177292824E-13</v>
      </c>
      <c r="L29" s="33"/>
      <c r="M29" s="34">
        <v>-12050</v>
      </c>
      <c r="N29" s="12">
        <v>0.02</v>
      </c>
      <c r="O29" s="12">
        <f t="shared" ref="O29:O30" si="8">+O28+M29-N29</f>
        <v>36.089442839999244</v>
      </c>
      <c r="P29" s="33" t="s">
        <v>25</v>
      </c>
      <c r="Q29" s="39">
        <f>-(I28)</f>
        <v>5000.4727999999996</v>
      </c>
      <c r="R29" s="14" t="s">
        <v>26</v>
      </c>
      <c r="S29" s="13"/>
      <c r="T29" s="14"/>
      <c r="U29" s="13" t="s">
        <v>33</v>
      </c>
      <c r="V29" s="15"/>
      <c r="W29" s="10"/>
      <c r="X29" s="16"/>
    </row>
    <row r="30" spans="1:24" s="7" customFormat="1" ht="15" hidden="1" x14ac:dyDescent="0.2">
      <c r="A30" s="8" t="s">
        <v>18</v>
      </c>
      <c r="B30" s="6"/>
      <c r="C30" s="6">
        <v>44872</v>
      </c>
      <c r="D30" s="30"/>
      <c r="E30" s="28"/>
      <c r="F30" s="27"/>
      <c r="G30" s="13" t="s">
        <v>19</v>
      </c>
      <c r="H30" s="33" t="s">
        <v>20</v>
      </c>
      <c r="I30" s="34">
        <v>500</v>
      </c>
      <c r="J30" s="32"/>
      <c r="K30" s="12">
        <f>+K29+I30-J30</f>
        <v>500.00000000000091</v>
      </c>
      <c r="L30" s="33" t="s">
        <v>21</v>
      </c>
      <c r="M30" s="34"/>
      <c r="N30" s="12"/>
      <c r="O30" s="12">
        <f t="shared" si="8"/>
        <v>36.089442839999244</v>
      </c>
      <c r="P30" s="33"/>
      <c r="Q30" s="38"/>
      <c r="R30" s="14"/>
      <c r="S30" s="13"/>
      <c r="T30" s="14"/>
      <c r="U30" s="68"/>
      <c r="V30" s="15"/>
      <c r="W30" s="10"/>
      <c r="X30" s="19" t="s">
        <v>22</v>
      </c>
    </row>
    <row r="31" spans="1:24" s="7" customFormat="1" ht="15" hidden="1" x14ac:dyDescent="0.2">
      <c r="A31" s="8" t="s">
        <v>18</v>
      </c>
      <c r="B31" s="6"/>
      <c r="C31" s="23">
        <v>44872</v>
      </c>
      <c r="D31" s="30"/>
      <c r="E31" s="28"/>
      <c r="F31" s="27"/>
      <c r="G31" s="13" t="s">
        <v>23</v>
      </c>
      <c r="H31" s="33" t="s">
        <v>24</v>
      </c>
      <c r="I31" s="37">
        <v>-498.4837</v>
      </c>
      <c r="J31" s="12">
        <v>1.2961</v>
      </c>
      <c r="K31" s="12">
        <f t="shared" ref="K31" si="9">+K30+I31-J31</f>
        <v>0.22020000000091056</v>
      </c>
      <c r="L31" s="33" t="s">
        <v>21</v>
      </c>
      <c r="M31" s="35">
        <v>1210</v>
      </c>
      <c r="N31" s="12">
        <v>0</v>
      </c>
      <c r="O31" s="12">
        <f>+O30+M31-N31</f>
        <v>1246.0894428399993</v>
      </c>
      <c r="P31" s="33" t="s">
        <v>25</v>
      </c>
      <c r="Q31" s="38"/>
      <c r="R31" s="14" t="s">
        <v>26</v>
      </c>
      <c r="S31" s="13"/>
      <c r="T31" s="14"/>
      <c r="U31" s="13"/>
      <c r="V31" s="15"/>
      <c r="W31" s="10"/>
      <c r="X31" s="19"/>
    </row>
    <row r="32" spans="1:24" s="7" customFormat="1" ht="15" hidden="1" x14ac:dyDescent="0.2">
      <c r="A32" s="8" t="s">
        <v>18</v>
      </c>
      <c r="B32" s="6">
        <v>44888</v>
      </c>
      <c r="C32" s="6">
        <v>44872</v>
      </c>
      <c r="D32" s="31" t="s">
        <v>27</v>
      </c>
      <c r="E32" s="28">
        <v>442734179</v>
      </c>
      <c r="F32" s="26" t="s">
        <v>44</v>
      </c>
      <c r="G32" s="13" t="s">
        <v>35</v>
      </c>
      <c r="H32" s="33" t="s">
        <v>30</v>
      </c>
      <c r="I32" s="34"/>
      <c r="J32" s="12"/>
      <c r="K32" s="12">
        <f>+K31+I32-J32</f>
        <v>0.22020000000091056</v>
      </c>
      <c r="L32" s="33"/>
      <c r="M32" s="34">
        <v>-1245</v>
      </c>
      <c r="N32" s="12">
        <v>0.02</v>
      </c>
      <c r="O32" s="12">
        <f t="shared" ref="O32" si="10">+O31+M32-N32</f>
        <v>1.0694428399992648</v>
      </c>
      <c r="P32" s="33" t="s">
        <v>25</v>
      </c>
      <c r="Q32" s="38"/>
      <c r="R32" s="14" t="s">
        <v>26</v>
      </c>
      <c r="S32" s="25">
        <f>-(I31)</f>
        <v>498.4837</v>
      </c>
      <c r="T32" s="14"/>
      <c r="U32" s="13" t="s">
        <v>36</v>
      </c>
      <c r="V32" s="15"/>
      <c r="W32" s="10"/>
      <c r="X32" s="16"/>
    </row>
    <row r="33" spans="1:24" s="17" customFormat="1" ht="15" hidden="1" x14ac:dyDescent="0.2">
      <c r="A33" s="8" t="s">
        <v>18</v>
      </c>
      <c r="B33" s="6">
        <v>44888</v>
      </c>
      <c r="C33" s="6">
        <v>44888</v>
      </c>
      <c r="D33" s="30"/>
      <c r="E33" s="28"/>
      <c r="F33" s="27"/>
      <c r="G33" s="13" t="s">
        <v>39</v>
      </c>
      <c r="H33" s="33"/>
      <c r="I33" s="34"/>
      <c r="J33" s="62">
        <f>SUM(J22:J32)</f>
        <v>5.3653000000000004</v>
      </c>
      <c r="K33" s="12"/>
      <c r="L33" s="33" t="s">
        <v>21</v>
      </c>
      <c r="M33" s="34"/>
      <c r="N33" s="62">
        <f>SUM(N22:N32)</f>
        <v>35.940716480000006</v>
      </c>
      <c r="O33" s="12"/>
      <c r="P33" s="33" t="s">
        <v>25</v>
      </c>
      <c r="Q33" s="38"/>
      <c r="R33" s="14"/>
      <c r="S33" s="64"/>
      <c r="T33" s="14"/>
      <c r="U33" s="13" t="s">
        <v>40</v>
      </c>
      <c r="V33" s="15"/>
      <c r="W33" s="10"/>
      <c r="X33" s="16"/>
    </row>
    <row r="34" spans="1:24" s="7" customFormat="1" ht="15" hidden="1" x14ac:dyDescent="0.2">
      <c r="A34" s="8" t="s">
        <v>18</v>
      </c>
      <c r="B34" s="6">
        <v>45012</v>
      </c>
      <c r="C34" s="6">
        <v>44901</v>
      </c>
      <c r="D34" s="30"/>
      <c r="E34" s="28"/>
      <c r="F34" s="27"/>
      <c r="G34" s="13" t="s">
        <v>19</v>
      </c>
      <c r="H34" s="33" t="s">
        <v>20</v>
      </c>
      <c r="I34" s="34">
        <v>4765</v>
      </c>
      <c r="J34" s="32"/>
      <c r="K34" s="12">
        <f>+K32+I34-J34</f>
        <v>4765.2202000000007</v>
      </c>
      <c r="L34" s="33" t="s">
        <v>21</v>
      </c>
      <c r="M34" s="34"/>
      <c r="N34" s="12"/>
      <c r="O34" s="12">
        <f t="shared" ref="O34" si="11">+O33+M34-N34</f>
        <v>0</v>
      </c>
      <c r="P34" s="33"/>
      <c r="Q34" s="38"/>
      <c r="R34" s="14"/>
      <c r="S34" s="64"/>
      <c r="T34" s="14"/>
      <c r="U34" s="68"/>
      <c r="V34" s="15"/>
      <c r="W34" s="10"/>
      <c r="X34" s="19" t="s">
        <v>22</v>
      </c>
    </row>
    <row r="35" spans="1:24" s="7" customFormat="1" ht="15" hidden="1" x14ac:dyDescent="0.2">
      <c r="A35" s="8" t="s">
        <v>18</v>
      </c>
      <c r="B35" s="6">
        <v>45012</v>
      </c>
      <c r="C35" s="23">
        <v>44901</v>
      </c>
      <c r="D35" s="30"/>
      <c r="E35" s="28"/>
      <c r="F35" s="27"/>
      <c r="G35" s="13" t="s">
        <v>23</v>
      </c>
      <c r="H35" s="33" t="s">
        <v>24</v>
      </c>
      <c r="I35" s="37">
        <v>-4750.2938000000004</v>
      </c>
      <c r="J35" s="12">
        <v>0</v>
      </c>
      <c r="K35" s="12">
        <f t="shared" ref="K35" si="12">+K34+I35-J35</f>
        <v>14.926400000000285</v>
      </c>
      <c r="L35" s="33" t="s">
        <v>21</v>
      </c>
      <c r="M35" s="35">
        <v>15065</v>
      </c>
      <c r="N35" s="12">
        <v>0</v>
      </c>
      <c r="O35" s="12">
        <f>+O32+M35-N35</f>
        <v>15066.069442839998</v>
      </c>
      <c r="P35" s="33" t="s">
        <v>25</v>
      </c>
      <c r="Q35" s="38"/>
      <c r="R35" s="14" t="s">
        <v>26</v>
      </c>
      <c r="S35" s="64"/>
      <c r="T35" s="14"/>
      <c r="U35" s="13"/>
      <c r="V35" s="15"/>
      <c r="W35" s="10"/>
      <c r="X35" s="19"/>
    </row>
    <row r="36" spans="1:24" s="7" customFormat="1" ht="15" hidden="1" x14ac:dyDescent="0.2">
      <c r="A36" s="8" t="s">
        <v>18</v>
      </c>
      <c r="B36" s="6">
        <v>45012</v>
      </c>
      <c r="C36" s="6">
        <v>44901</v>
      </c>
      <c r="D36" s="31" t="s">
        <v>27</v>
      </c>
      <c r="E36" s="28">
        <v>442734179</v>
      </c>
      <c r="F36" s="63" t="s">
        <v>45</v>
      </c>
      <c r="G36" s="13" t="s">
        <v>35</v>
      </c>
      <c r="H36" s="33" t="s">
        <v>30</v>
      </c>
      <c r="I36" s="34"/>
      <c r="J36" s="12"/>
      <c r="K36" s="12">
        <f t="shared" ref="K36:K67" si="13">+K35+I36-J36</f>
        <v>14.926400000000285</v>
      </c>
      <c r="L36" s="33"/>
      <c r="M36" s="34">
        <v>-2060</v>
      </c>
      <c r="N36" s="12">
        <v>0.02</v>
      </c>
      <c r="O36" s="12">
        <f t="shared" ref="O36:O67" si="14">+O35+M36-N36</f>
        <v>13006.049442839998</v>
      </c>
      <c r="P36" s="33" t="s">
        <v>25</v>
      </c>
      <c r="Q36" s="38"/>
      <c r="R36" s="14" t="s">
        <v>26</v>
      </c>
      <c r="S36" s="25">
        <f>-M36/(M36+M37)*I35</f>
        <v>649.77458353253655</v>
      </c>
      <c r="T36" s="14"/>
      <c r="U36" s="13" t="s">
        <v>36</v>
      </c>
      <c r="V36" s="15"/>
      <c r="W36" s="10"/>
      <c r="X36" s="16"/>
    </row>
    <row r="37" spans="1:24" s="7" customFormat="1" ht="15" hidden="1" x14ac:dyDescent="0.2">
      <c r="A37" s="8" t="s">
        <v>18</v>
      </c>
      <c r="B37" s="6">
        <v>45012</v>
      </c>
      <c r="C37" s="6">
        <v>44901</v>
      </c>
      <c r="D37" s="31" t="s">
        <v>27</v>
      </c>
      <c r="E37" s="28">
        <v>547786843</v>
      </c>
      <c r="F37" s="63" t="s">
        <v>45</v>
      </c>
      <c r="G37" s="13" t="s">
        <v>29</v>
      </c>
      <c r="H37" s="33" t="s">
        <v>30</v>
      </c>
      <c r="I37" s="34"/>
      <c r="J37" s="12"/>
      <c r="K37" s="12">
        <f t="shared" si="13"/>
        <v>14.926400000000285</v>
      </c>
      <c r="L37" s="33"/>
      <c r="M37" s="34">
        <v>-13000</v>
      </c>
      <c r="N37" s="12">
        <v>0.02</v>
      </c>
      <c r="O37" s="12">
        <f t="shared" si="14"/>
        <v>6.0294428399979374</v>
      </c>
      <c r="P37" s="33" t="s">
        <v>25</v>
      </c>
      <c r="Q37" s="39">
        <f>-M37/(M36+M37)*I35</f>
        <v>4100.5192164674636</v>
      </c>
      <c r="R37" s="14" t="s">
        <v>26</v>
      </c>
      <c r="S37" s="13"/>
      <c r="T37" s="14"/>
      <c r="U37" s="13" t="s">
        <v>33</v>
      </c>
      <c r="V37" s="15"/>
      <c r="W37" s="10"/>
      <c r="X37" s="16"/>
    </row>
    <row r="38" spans="1:24" s="7" customFormat="1" ht="15" hidden="1" x14ac:dyDescent="0.2">
      <c r="A38" s="8" t="s">
        <v>18</v>
      </c>
      <c r="B38" s="6">
        <v>45012</v>
      </c>
      <c r="C38" s="6">
        <v>44916</v>
      </c>
      <c r="D38" s="30"/>
      <c r="E38" s="28"/>
      <c r="F38" s="27"/>
      <c r="G38" s="13" t="s">
        <v>19</v>
      </c>
      <c r="H38" s="33" t="s">
        <v>20</v>
      </c>
      <c r="I38" s="34">
        <v>350</v>
      </c>
      <c r="J38" s="32"/>
      <c r="K38" s="12">
        <f t="shared" si="13"/>
        <v>364.92640000000029</v>
      </c>
      <c r="L38" s="33" t="s">
        <v>21</v>
      </c>
      <c r="M38" s="34"/>
      <c r="N38" s="12"/>
      <c r="O38" s="12">
        <f t="shared" si="14"/>
        <v>6.0294428399979374</v>
      </c>
      <c r="P38" s="33"/>
      <c r="Q38" s="65"/>
      <c r="R38" s="14"/>
      <c r="S38" s="13"/>
      <c r="T38" s="14"/>
      <c r="U38" s="68"/>
      <c r="V38" s="15"/>
      <c r="W38" s="10"/>
      <c r="X38" s="19" t="s">
        <v>22</v>
      </c>
    </row>
    <row r="39" spans="1:24" s="7" customFormat="1" ht="15" hidden="1" x14ac:dyDescent="0.2">
      <c r="A39" s="8" t="s">
        <v>18</v>
      </c>
      <c r="B39" s="6">
        <v>45012</v>
      </c>
      <c r="C39" s="23">
        <v>44916</v>
      </c>
      <c r="D39" s="30"/>
      <c r="E39" s="28"/>
      <c r="F39" s="27"/>
      <c r="G39" s="13" t="s">
        <v>23</v>
      </c>
      <c r="H39" s="33" t="s">
        <v>24</v>
      </c>
      <c r="I39" s="37">
        <v>-361.11160000000001</v>
      </c>
      <c r="J39" s="12">
        <v>0</v>
      </c>
      <c r="K39" s="12">
        <f t="shared" si="13"/>
        <v>3.8148000000002753</v>
      </c>
      <c r="L39" s="33" t="s">
        <v>21</v>
      </c>
      <c r="M39" s="35">
        <v>1275</v>
      </c>
      <c r="N39" s="12">
        <v>0</v>
      </c>
      <c r="O39" s="12">
        <f t="shared" si="14"/>
        <v>1281.029442839998</v>
      </c>
      <c r="P39" s="33" t="s">
        <v>25</v>
      </c>
      <c r="Q39" s="65"/>
      <c r="R39" s="14" t="s">
        <v>26</v>
      </c>
      <c r="S39" s="13"/>
      <c r="T39" s="14"/>
      <c r="U39" s="13"/>
      <c r="V39" s="15"/>
      <c r="W39" s="10"/>
      <c r="X39" s="19"/>
    </row>
    <row r="40" spans="1:24" s="7" customFormat="1" ht="15" hidden="1" x14ac:dyDescent="0.2">
      <c r="A40" s="8" t="s">
        <v>18</v>
      </c>
      <c r="B40" s="6">
        <v>45012</v>
      </c>
      <c r="C40" s="6">
        <v>44916</v>
      </c>
      <c r="D40" s="31" t="s">
        <v>27</v>
      </c>
      <c r="E40" s="28">
        <v>547786843</v>
      </c>
      <c r="F40" s="63" t="s">
        <v>45</v>
      </c>
      <c r="G40" s="13" t="s">
        <v>29</v>
      </c>
      <c r="H40" s="33" t="s">
        <v>30</v>
      </c>
      <c r="I40" s="34"/>
      <c r="J40" s="12"/>
      <c r="K40" s="12">
        <f t="shared" si="13"/>
        <v>3.8148000000002753</v>
      </c>
      <c r="L40" s="33"/>
      <c r="M40" s="34">
        <v>-1280</v>
      </c>
      <c r="N40" s="12">
        <v>0.02</v>
      </c>
      <c r="O40" s="12">
        <f t="shared" si="14"/>
        <v>1.0094428399979551</v>
      </c>
      <c r="P40" s="33" t="s">
        <v>25</v>
      </c>
      <c r="Q40" s="39">
        <f>-(I39)</f>
        <v>361.11160000000001</v>
      </c>
      <c r="R40" s="14" t="s">
        <v>26</v>
      </c>
      <c r="S40" s="13"/>
      <c r="T40" s="14"/>
      <c r="U40" s="13" t="s">
        <v>33</v>
      </c>
      <c r="V40" s="15"/>
      <c r="W40" s="10"/>
      <c r="X40" s="16"/>
    </row>
    <row r="41" spans="1:24" s="7" customFormat="1" ht="15" hidden="1" x14ac:dyDescent="0.2">
      <c r="A41" s="8" t="s">
        <v>18</v>
      </c>
      <c r="B41" s="6">
        <v>45012</v>
      </c>
      <c r="C41" s="6">
        <v>44931</v>
      </c>
      <c r="D41" s="30"/>
      <c r="E41" s="28"/>
      <c r="F41" s="27"/>
      <c r="G41" s="13" t="s">
        <v>19</v>
      </c>
      <c r="H41" s="33" t="s">
        <v>20</v>
      </c>
      <c r="I41" s="34">
        <v>1500</v>
      </c>
      <c r="J41" s="32"/>
      <c r="K41" s="12">
        <f t="shared" si="13"/>
        <v>1503.8148000000003</v>
      </c>
      <c r="L41" s="33" t="s">
        <v>21</v>
      </c>
      <c r="M41" s="34"/>
      <c r="N41" s="12"/>
      <c r="O41" s="12">
        <f t="shared" si="14"/>
        <v>1.0094428399979551</v>
      </c>
      <c r="P41" s="33"/>
      <c r="Q41" s="65"/>
      <c r="R41" s="14"/>
      <c r="S41" s="13"/>
      <c r="T41" s="14"/>
      <c r="U41" s="68"/>
      <c r="V41" s="15"/>
      <c r="W41" s="10"/>
      <c r="X41" s="19" t="s">
        <v>22</v>
      </c>
    </row>
    <row r="42" spans="1:24" s="7" customFormat="1" ht="15" hidden="1" x14ac:dyDescent="0.2">
      <c r="A42" s="8" t="s">
        <v>18</v>
      </c>
      <c r="B42" s="6">
        <v>45012</v>
      </c>
      <c r="C42" s="23">
        <v>44931</v>
      </c>
      <c r="D42" s="30"/>
      <c r="E42" s="28"/>
      <c r="F42" s="27"/>
      <c r="G42" s="13" t="s">
        <v>23</v>
      </c>
      <c r="H42" s="33" t="s">
        <v>24</v>
      </c>
      <c r="I42" s="37">
        <v>-1499.9997000000001</v>
      </c>
      <c r="J42" s="12">
        <v>0</v>
      </c>
      <c r="K42" s="12">
        <f t="shared" si="13"/>
        <v>3.8151000000002568</v>
      </c>
      <c r="L42" s="33" t="s">
        <v>21</v>
      </c>
      <c r="M42" s="35">
        <v>5270</v>
      </c>
      <c r="N42" s="12">
        <v>0</v>
      </c>
      <c r="O42" s="12">
        <f t="shared" si="14"/>
        <v>5271.009442839998</v>
      </c>
      <c r="P42" s="33" t="s">
        <v>25</v>
      </c>
      <c r="Q42" s="65"/>
      <c r="R42" s="14" t="s">
        <v>26</v>
      </c>
      <c r="S42" s="13"/>
      <c r="T42" s="14"/>
      <c r="U42" s="13"/>
      <c r="V42" s="15"/>
      <c r="W42" s="10"/>
      <c r="X42" s="19"/>
    </row>
    <row r="43" spans="1:24" s="7" customFormat="1" ht="15" hidden="1" x14ac:dyDescent="0.2">
      <c r="A43" s="8" t="s">
        <v>18</v>
      </c>
      <c r="B43" s="6">
        <v>45012</v>
      </c>
      <c r="C43" s="6">
        <v>44931</v>
      </c>
      <c r="D43" s="31" t="s">
        <v>27</v>
      </c>
      <c r="E43" s="28">
        <v>547786843</v>
      </c>
      <c r="F43" s="26" t="s">
        <v>46</v>
      </c>
      <c r="G43" s="13" t="s">
        <v>29</v>
      </c>
      <c r="H43" s="33" t="s">
        <v>30</v>
      </c>
      <c r="I43" s="34"/>
      <c r="J43" s="12"/>
      <c r="K43" s="12">
        <f t="shared" si="13"/>
        <v>3.8151000000002568</v>
      </c>
      <c r="L43" s="33"/>
      <c r="M43" s="34">
        <v>-4130</v>
      </c>
      <c r="N43" s="12">
        <v>0.02</v>
      </c>
      <c r="O43" s="12">
        <f t="shared" si="14"/>
        <v>1140.989442839998</v>
      </c>
      <c r="P43" s="33" t="s">
        <v>25</v>
      </c>
      <c r="Q43" s="39">
        <f>-M43/(M43+M44)*I42</f>
        <v>1175.5215865275143</v>
      </c>
      <c r="R43" s="14" t="s">
        <v>26</v>
      </c>
      <c r="S43" s="13"/>
      <c r="T43" s="14"/>
      <c r="U43" s="13" t="s">
        <v>33</v>
      </c>
      <c r="V43" s="15"/>
      <c r="W43" s="10"/>
      <c r="X43" s="16"/>
    </row>
    <row r="44" spans="1:24" s="7" customFormat="1" ht="15" hidden="1" x14ac:dyDescent="0.2">
      <c r="A44" s="8" t="s">
        <v>18</v>
      </c>
      <c r="B44" s="6">
        <v>45012</v>
      </c>
      <c r="C44" s="6">
        <v>44931</v>
      </c>
      <c r="D44" s="31" t="s">
        <v>27</v>
      </c>
      <c r="E44" s="28">
        <v>442734179</v>
      </c>
      <c r="F44" s="26" t="s">
        <v>47</v>
      </c>
      <c r="G44" s="13" t="s">
        <v>35</v>
      </c>
      <c r="H44" s="33" t="s">
        <v>30</v>
      </c>
      <c r="I44" s="34"/>
      <c r="J44" s="12"/>
      <c r="K44" s="12">
        <f t="shared" si="13"/>
        <v>3.8151000000002568</v>
      </c>
      <c r="L44" s="33"/>
      <c r="M44" s="34">
        <v>-1140</v>
      </c>
      <c r="N44" s="12">
        <v>0.02</v>
      </c>
      <c r="O44" s="12">
        <f t="shared" si="14"/>
        <v>0.96944283999799152</v>
      </c>
      <c r="P44" s="33" t="s">
        <v>25</v>
      </c>
      <c r="Q44" s="38"/>
      <c r="R44" s="14" t="s">
        <v>26</v>
      </c>
      <c r="S44" s="25">
        <f>-M44/(M43+M44)*I42</f>
        <v>324.47811347248575</v>
      </c>
      <c r="T44" s="14"/>
      <c r="U44" s="13" t="s">
        <v>36</v>
      </c>
      <c r="V44" s="15"/>
      <c r="W44" s="10"/>
      <c r="X44" s="16"/>
    </row>
    <row r="45" spans="1:24" s="7" customFormat="1" ht="15" hidden="1" x14ac:dyDescent="0.2">
      <c r="A45" s="8" t="s">
        <v>18</v>
      </c>
      <c r="B45" s="6">
        <v>45012</v>
      </c>
      <c r="C45" s="6">
        <v>44940</v>
      </c>
      <c r="D45" s="30"/>
      <c r="E45" s="28"/>
      <c r="F45" s="27"/>
      <c r="G45" s="13" t="s">
        <v>19</v>
      </c>
      <c r="H45" s="33" t="s">
        <v>20</v>
      </c>
      <c r="I45" s="34">
        <v>300</v>
      </c>
      <c r="J45" s="32"/>
      <c r="K45" s="12">
        <f t="shared" si="13"/>
        <v>303.81510000000026</v>
      </c>
      <c r="L45" s="33" t="s">
        <v>21</v>
      </c>
      <c r="M45" s="34"/>
      <c r="N45" s="12"/>
      <c r="O45" s="12">
        <f t="shared" si="14"/>
        <v>0.96944283999799152</v>
      </c>
      <c r="P45" s="33"/>
      <c r="Q45" s="65"/>
      <c r="R45" s="14"/>
      <c r="S45" s="13"/>
      <c r="T45" s="14"/>
      <c r="U45" s="68"/>
      <c r="V45" s="15"/>
      <c r="W45" s="10"/>
      <c r="X45" s="19" t="s">
        <v>22</v>
      </c>
    </row>
    <row r="46" spans="1:24" s="7" customFormat="1" ht="15" hidden="1" x14ac:dyDescent="0.2">
      <c r="A46" s="8" t="s">
        <v>18</v>
      </c>
      <c r="B46" s="6">
        <v>45012</v>
      </c>
      <c r="C46" s="23">
        <v>44940</v>
      </c>
      <c r="D46" s="30"/>
      <c r="E46" s="28"/>
      <c r="F46" s="27"/>
      <c r="G46" s="13" t="s">
        <v>23</v>
      </c>
      <c r="H46" s="33" t="s">
        <v>24</v>
      </c>
      <c r="I46" s="37">
        <v>-302.10539999999997</v>
      </c>
      <c r="J46" s="12">
        <v>0</v>
      </c>
      <c r="K46" s="12">
        <f t="shared" si="13"/>
        <v>1.7097000000002822</v>
      </c>
      <c r="L46" s="33" t="s">
        <v>21</v>
      </c>
      <c r="M46" s="35">
        <v>950</v>
      </c>
      <c r="N46" s="12">
        <v>0</v>
      </c>
      <c r="O46" s="12">
        <f t="shared" si="14"/>
        <v>950.96944283999801</v>
      </c>
      <c r="P46" s="33" t="s">
        <v>25</v>
      </c>
      <c r="Q46" s="65"/>
      <c r="R46" s="14" t="s">
        <v>26</v>
      </c>
      <c r="S46" s="13"/>
      <c r="T46" s="14"/>
      <c r="U46" s="13"/>
      <c r="V46" s="15"/>
      <c r="W46" s="10"/>
      <c r="X46" s="19"/>
    </row>
    <row r="47" spans="1:24" s="7" customFormat="1" ht="15" hidden="1" x14ac:dyDescent="0.2">
      <c r="A47" s="8" t="s">
        <v>18</v>
      </c>
      <c r="B47" s="6">
        <v>45012</v>
      </c>
      <c r="C47" s="6">
        <v>44940</v>
      </c>
      <c r="D47" s="31" t="s">
        <v>27</v>
      </c>
      <c r="E47" s="28">
        <v>442734179</v>
      </c>
      <c r="F47" s="26" t="s">
        <v>48</v>
      </c>
      <c r="G47" s="13" t="s">
        <v>35</v>
      </c>
      <c r="H47" s="33" t="s">
        <v>30</v>
      </c>
      <c r="I47" s="34"/>
      <c r="J47" s="12"/>
      <c r="K47" s="12">
        <f t="shared" si="13"/>
        <v>1.7097000000002822</v>
      </c>
      <c r="L47" s="33"/>
      <c r="M47" s="34">
        <v>-950</v>
      </c>
      <c r="N47" s="12">
        <v>0.02</v>
      </c>
      <c r="O47" s="12">
        <f t="shared" si="14"/>
        <v>0.94944283999800971</v>
      </c>
      <c r="P47" s="33" t="s">
        <v>25</v>
      </c>
      <c r="Q47" s="38"/>
      <c r="R47" s="14" t="s">
        <v>26</v>
      </c>
      <c r="S47" s="25">
        <f>-(I46)</f>
        <v>302.10539999999997</v>
      </c>
      <c r="T47" s="14"/>
      <c r="U47" s="13" t="s">
        <v>36</v>
      </c>
      <c r="V47" s="15"/>
      <c r="W47" s="10"/>
      <c r="X47" s="16"/>
    </row>
    <row r="48" spans="1:24" s="7" customFormat="1" ht="15" hidden="1" x14ac:dyDescent="0.2">
      <c r="A48" s="8" t="s">
        <v>18</v>
      </c>
      <c r="B48" s="6">
        <v>45012</v>
      </c>
      <c r="C48" s="6">
        <v>44945</v>
      </c>
      <c r="D48" s="30"/>
      <c r="E48" s="28"/>
      <c r="F48" s="27"/>
      <c r="G48" s="13" t="s">
        <v>19</v>
      </c>
      <c r="H48" s="33" t="s">
        <v>20</v>
      </c>
      <c r="I48" s="34">
        <v>850</v>
      </c>
      <c r="J48" s="32"/>
      <c r="K48" s="12">
        <f t="shared" si="13"/>
        <v>851.70970000000034</v>
      </c>
      <c r="L48" s="33" t="s">
        <v>21</v>
      </c>
      <c r="M48" s="34"/>
      <c r="N48" s="12"/>
      <c r="O48" s="12">
        <f t="shared" si="14"/>
        <v>0.94944283999800971</v>
      </c>
      <c r="P48" s="33"/>
      <c r="Q48" s="65"/>
      <c r="R48" s="14"/>
      <c r="S48" s="13"/>
      <c r="T48" s="14"/>
      <c r="U48" s="68"/>
      <c r="V48" s="15"/>
      <c r="W48" s="10"/>
      <c r="X48" s="19" t="s">
        <v>22</v>
      </c>
    </row>
    <row r="49" spans="1:24" s="7" customFormat="1" ht="15" hidden="1" x14ac:dyDescent="0.2">
      <c r="A49" s="8" t="s">
        <v>18</v>
      </c>
      <c r="B49" s="6">
        <v>45012</v>
      </c>
      <c r="C49" s="23">
        <v>44945</v>
      </c>
      <c r="D49" s="30"/>
      <c r="E49" s="28"/>
      <c r="F49" s="27"/>
      <c r="G49" s="13" t="s">
        <v>23</v>
      </c>
      <c r="H49" s="33" t="s">
        <v>24</v>
      </c>
      <c r="I49" s="37">
        <v>-850.28420000000006</v>
      </c>
      <c r="J49" s="12">
        <v>0</v>
      </c>
      <c r="K49" s="12">
        <f t="shared" si="13"/>
        <v>1.4255000000002838</v>
      </c>
      <c r="L49" s="33" t="s">
        <v>21</v>
      </c>
      <c r="M49" s="35">
        <v>2700</v>
      </c>
      <c r="N49" s="12">
        <v>0</v>
      </c>
      <c r="O49" s="12">
        <f t="shared" si="14"/>
        <v>2700.949442839998</v>
      </c>
      <c r="P49" s="33" t="s">
        <v>25</v>
      </c>
      <c r="Q49" s="65"/>
      <c r="R49" s="14" t="s">
        <v>26</v>
      </c>
      <c r="S49" s="13"/>
      <c r="T49" s="14"/>
      <c r="U49" s="13"/>
      <c r="V49" s="15"/>
      <c r="W49" s="10"/>
      <c r="X49" s="19"/>
    </row>
    <row r="50" spans="1:24" s="7" customFormat="1" ht="15" hidden="1" x14ac:dyDescent="0.2">
      <c r="A50" s="8" t="s">
        <v>18</v>
      </c>
      <c r="B50" s="6">
        <v>45012</v>
      </c>
      <c r="C50" s="6">
        <v>44945</v>
      </c>
      <c r="D50" s="31" t="s">
        <v>27</v>
      </c>
      <c r="E50" s="28">
        <v>547786843</v>
      </c>
      <c r="F50" s="26" t="s">
        <v>49</v>
      </c>
      <c r="G50" s="13" t="s">
        <v>29</v>
      </c>
      <c r="H50" s="33" t="s">
        <v>30</v>
      </c>
      <c r="I50" s="34"/>
      <c r="J50" s="12"/>
      <c r="K50" s="12">
        <f t="shared" si="13"/>
        <v>1.4255000000002838</v>
      </c>
      <c r="L50" s="33"/>
      <c r="M50" s="34">
        <v>-2700</v>
      </c>
      <c r="N50" s="12">
        <v>0.02</v>
      </c>
      <c r="O50" s="12">
        <f t="shared" si="14"/>
        <v>0.9294428399980279</v>
      </c>
      <c r="P50" s="33" t="s">
        <v>25</v>
      </c>
      <c r="Q50" s="39">
        <f>-(I49)</f>
        <v>850.28420000000006</v>
      </c>
      <c r="R50" s="14" t="s">
        <v>26</v>
      </c>
      <c r="S50" s="13"/>
      <c r="T50" s="14"/>
      <c r="U50" s="13" t="s">
        <v>33</v>
      </c>
      <c r="V50" s="15"/>
      <c r="W50" s="10"/>
      <c r="X50" s="16"/>
    </row>
    <row r="51" spans="1:24" s="7" customFormat="1" ht="15" hidden="1" x14ac:dyDescent="0.2">
      <c r="A51" s="8" t="s">
        <v>18</v>
      </c>
      <c r="B51" s="6">
        <v>45012</v>
      </c>
      <c r="C51" s="6">
        <v>44954</v>
      </c>
      <c r="D51" s="30"/>
      <c r="E51" s="28"/>
      <c r="F51" s="27"/>
      <c r="G51" s="13" t="s">
        <v>19</v>
      </c>
      <c r="H51" s="33" t="s">
        <v>20</v>
      </c>
      <c r="I51" s="34">
        <v>175</v>
      </c>
      <c r="J51" s="32"/>
      <c r="K51" s="12">
        <f t="shared" si="13"/>
        <v>176.42550000000028</v>
      </c>
      <c r="L51" s="33" t="s">
        <v>21</v>
      </c>
      <c r="M51" s="34"/>
      <c r="N51" s="12"/>
      <c r="O51" s="12">
        <f t="shared" si="14"/>
        <v>0.9294428399980279</v>
      </c>
      <c r="P51" s="33"/>
      <c r="Q51" s="65"/>
      <c r="R51" s="14"/>
      <c r="S51" s="13"/>
      <c r="T51" s="14"/>
      <c r="U51" s="68"/>
      <c r="V51" s="15"/>
      <c r="W51" s="10"/>
      <c r="X51" s="19" t="s">
        <v>22</v>
      </c>
    </row>
    <row r="52" spans="1:24" s="7" customFormat="1" ht="15" hidden="1" x14ac:dyDescent="0.2">
      <c r="A52" s="8" t="s">
        <v>18</v>
      </c>
      <c r="B52" s="6">
        <v>45012</v>
      </c>
      <c r="C52" s="23">
        <v>44954</v>
      </c>
      <c r="D52" s="30"/>
      <c r="E52" s="28"/>
      <c r="F52" s="27"/>
      <c r="G52" s="13" t="s">
        <v>23</v>
      </c>
      <c r="H52" s="33" t="s">
        <v>24</v>
      </c>
      <c r="I52" s="37">
        <v>-175.38759999999999</v>
      </c>
      <c r="J52" s="12">
        <v>0</v>
      </c>
      <c r="K52" s="12">
        <f t="shared" si="13"/>
        <v>1.0379000000002918</v>
      </c>
      <c r="L52" s="33" t="s">
        <v>21</v>
      </c>
      <c r="M52" s="35">
        <v>530</v>
      </c>
      <c r="N52" s="12">
        <v>0</v>
      </c>
      <c r="O52" s="12">
        <f t="shared" si="14"/>
        <v>530.92944283999805</v>
      </c>
      <c r="P52" s="33" t="s">
        <v>25</v>
      </c>
      <c r="Q52" s="65"/>
      <c r="R52" s="14" t="s">
        <v>26</v>
      </c>
      <c r="S52" s="13"/>
      <c r="T52" s="14"/>
      <c r="U52" s="13"/>
      <c r="V52" s="15"/>
      <c r="W52" s="10"/>
      <c r="X52" s="19"/>
    </row>
    <row r="53" spans="1:24" s="7" customFormat="1" ht="15" hidden="1" x14ac:dyDescent="0.2">
      <c r="A53" s="8" t="s">
        <v>18</v>
      </c>
      <c r="B53" s="6">
        <v>45012</v>
      </c>
      <c r="C53" s="6">
        <v>44954</v>
      </c>
      <c r="D53" s="31" t="s">
        <v>27</v>
      </c>
      <c r="E53" s="28">
        <v>442734179</v>
      </c>
      <c r="F53" s="26" t="s">
        <v>50</v>
      </c>
      <c r="G53" s="13" t="s">
        <v>35</v>
      </c>
      <c r="H53" s="33" t="s">
        <v>30</v>
      </c>
      <c r="I53" s="34"/>
      <c r="J53" s="12"/>
      <c r="K53" s="12">
        <f t="shared" si="13"/>
        <v>1.0379000000002918</v>
      </c>
      <c r="L53" s="33"/>
      <c r="M53" s="34">
        <v>-530</v>
      </c>
      <c r="N53" s="12">
        <v>0.02</v>
      </c>
      <c r="O53" s="12">
        <f t="shared" si="14"/>
        <v>0.90944283999804609</v>
      </c>
      <c r="P53" s="33" t="s">
        <v>25</v>
      </c>
      <c r="Q53" s="38"/>
      <c r="R53" s="14" t="s">
        <v>26</v>
      </c>
      <c r="S53" s="25">
        <f>-(I52)</f>
        <v>175.38759999999999</v>
      </c>
      <c r="T53" s="14"/>
      <c r="U53" s="13" t="s">
        <v>36</v>
      </c>
      <c r="V53" s="15"/>
      <c r="W53" s="10"/>
      <c r="X53" s="16"/>
    </row>
    <row r="54" spans="1:24" s="7" customFormat="1" ht="15" hidden="1" x14ac:dyDescent="0.2">
      <c r="A54" s="8" t="s">
        <v>18</v>
      </c>
      <c r="B54" s="6">
        <v>45012</v>
      </c>
      <c r="C54" s="6">
        <v>44971</v>
      </c>
      <c r="D54" s="30"/>
      <c r="E54" s="28"/>
      <c r="F54" s="27"/>
      <c r="G54" s="13" t="s">
        <v>19</v>
      </c>
      <c r="H54" s="33" t="s">
        <v>20</v>
      </c>
      <c r="I54" s="34">
        <v>675</v>
      </c>
      <c r="J54" s="32"/>
      <c r="K54" s="12">
        <f t="shared" si="13"/>
        <v>676.03790000000026</v>
      </c>
      <c r="L54" s="33" t="s">
        <v>21</v>
      </c>
      <c r="M54" s="34"/>
      <c r="N54" s="12"/>
      <c r="O54" s="12">
        <f t="shared" si="14"/>
        <v>0.90944283999804609</v>
      </c>
      <c r="P54" s="33"/>
      <c r="Q54" s="65"/>
      <c r="R54" s="14"/>
      <c r="S54" s="13"/>
      <c r="T54" s="14"/>
      <c r="U54" s="68"/>
      <c r="V54" s="15"/>
      <c r="W54" s="10"/>
      <c r="X54" s="19" t="s">
        <v>22</v>
      </c>
    </row>
    <row r="55" spans="1:24" s="7" customFormat="1" ht="15" hidden="1" x14ac:dyDescent="0.2">
      <c r="A55" s="8" t="s">
        <v>18</v>
      </c>
      <c r="B55" s="6">
        <v>45012</v>
      </c>
      <c r="C55" s="23">
        <v>44971</v>
      </c>
      <c r="D55" s="30"/>
      <c r="E55" s="28"/>
      <c r="F55" s="27"/>
      <c r="G55" s="13" t="s">
        <v>23</v>
      </c>
      <c r="H55" s="33" t="s">
        <v>24</v>
      </c>
      <c r="I55" s="37">
        <v>-675.476</v>
      </c>
      <c r="J55" s="12">
        <v>0</v>
      </c>
      <c r="K55" s="12">
        <f t="shared" si="13"/>
        <v>0.5619000000002643</v>
      </c>
      <c r="L55" s="33" t="s">
        <v>21</v>
      </c>
      <c r="M55" s="35">
        <v>2195</v>
      </c>
      <c r="N55" s="12">
        <v>0</v>
      </c>
      <c r="O55" s="12">
        <f t="shared" si="14"/>
        <v>2195.9094428399981</v>
      </c>
      <c r="P55" s="33" t="s">
        <v>25</v>
      </c>
      <c r="Q55" s="65"/>
      <c r="R55" s="14" t="s">
        <v>26</v>
      </c>
      <c r="S55" s="13"/>
      <c r="T55" s="14"/>
      <c r="U55" s="13"/>
      <c r="V55" s="15"/>
      <c r="W55" s="10"/>
      <c r="X55" s="19"/>
    </row>
    <row r="56" spans="1:24" s="7" customFormat="1" ht="15" hidden="1" x14ac:dyDescent="0.2">
      <c r="A56" s="8" t="s">
        <v>18</v>
      </c>
      <c r="B56" s="6">
        <v>45012</v>
      </c>
      <c r="C56" s="6">
        <v>44971</v>
      </c>
      <c r="D56" s="31" t="s">
        <v>27</v>
      </c>
      <c r="E56" s="28">
        <v>547786843</v>
      </c>
      <c r="F56" s="26" t="s">
        <v>51</v>
      </c>
      <c r="G56" s="13" t="s">
        <v>29</v>
      </c>
      <c r="H56" s="33" t="s">
        <v>30</v>
      </c>
      <c r="I56" s="34"/>
      <c r="J56" s="12"/>
      <c r="K56" s="12">
        <f t="shared" si="13"/>
        <v>0.5619000000002643</v>
      </c>
      <c r="L56" s="33"/>
      <c r="M56" s="34">
        <v>-2195</v>
      </c>
      <c r="N56" s="12">
        <v>0.02</v>
      </c>
      <c r="O56" s="12">
        <f t="shared" si="14"/>
        <v>0.88944283999806428</v>
      </c>
      <c r="P56" s="33" t="s">
        <v>25</v>
      </c>
      <c r="Q56" s="39">
        <f>-(I55)</f>
        <v>675.476</v>
      </c>
      <c r="R56" s="14" t="s">
        <v>26</v>
      </c>
      <c r="S56" s="13"/>
      <c r="T56" s="14"/>
      <c r="U56" s="13" t="s">
        <v>33</v>
      </c>
      <c r="V56" s="15"/>
      <c r="W56" s="10"/>
      <c r="X56" s="16"/>
    </row>
    <row r="57" spans="1:24" s="7" customFormat="1" ht="15" hidden="1" x14ac:dyDescent="0.2">
      <c r="A57" s="8" t="s">
        <v>18</v>
      </c>
      <c r="B57" s="6">
        <v>45012</v>
      </c>
      <c r="C57" s="6">
        <v>44986</v>
      </c>
      <c r="D57" s="30"/>
      <c r="E57" s="28"/>
      <c r="F57" s="27"/>
      <c r="G57" s="13" t="s">
        <v>19</v>
      </c>
      <c r="H57" s="33" t="s">
        <v>20</v>
      </c>
      <c r="I57" s="34">
        <v>450</v>
      </c>
      <c r="J57" s="12">
        <v>0</v>
      </c>
      <c r="K57" s="12">
        <f t="shared" si="13"/>
        <v>450.56190000000026</v>
      </c>
      <c r="L57" s="33" t="s">
        <v>21</v>
      </c>
      <c r="M57" s="34"/>
      <c r="N57" s="12"/>
      <c r="O57" s="12">
        <f t="shared" si="14"/>
        <v>0.88944283999806428</v>
      </c>
      <c r="P57" s="33"/>
      <c r="Q57" s="65"/>
      <c r="R57" s="14"/>
      <c r="S57" s="13"/>
      <c r="T57" s="14"/>
      <c r="U57" s="68"/>
      <c r="V57" s="15"/>
      <c r="W57" s="10"/>
      <c r="X57" s="19" t="s">
        <v>22</v>
      </c>
    </row>
    <row r="58" spans="1:24" s="7" customFormat="1" ht="15" hidden="1" x14ac:dyDescent="0.2">
      <c r="A58" s="8" t="s">
        <v>18</v>
      </c>
      <c r="B58" s="6">
        <v>45012</v>
      </c>
      <c r="C58" s="23">
        <v>44986</v>
      </c>
      <c r="D58" s="30"/>
      <c r="E58" s="28"/>
      <c r="F58" s="27"/>
      <c r="G58" s="13" t="s">
        <v>23</v>
      </c>
      <c r="H58" s="33" t="s">
        <v>24</v>
      </c>
      <c r="I58" s="37">
        <v>-235.44980000000001</v>
      </c>
      <c r="J58" s="12"/>
      <c r="K58" s="12">
        <f t="shared" si="13"/>
        <v>215.11210000000025</v>
      </c>
      <c r="L58" s="33" t="s">
        <v>21</v>
      </c>
      <c r="M58" s="35">
        <v>745</v>
      </c>
      <c r="N58" s="12">
        <v>0</v>
      </c>
      <c r="O58" s="12">
        <f t="shared" si="14"/>
        <v>745.88944283999808</v>
      </c>
      <c r="P58" s="33" t="s">
        <v>25</v>
      </c>
      <c r="Q58" s="65"/>
      <c r="R58" s="14" t="s">
        <v>26</v>
      </c>
      <c r="S58" s="13"/>
      <c r="T58" s="14"/>
      <c r="U58" s="13"/>
      <c r="V58" s="15"/>
      <c r="W58" s="10"/>
      <c r="X58" s="19"/>
    </row>
    <row r="59" spans="1:24" s="7" customFormat="1" ht="15" hidden="1" x14ac:dyDescent="0.2">
      <c r="A59" s="8" t="s">
        <v>18</v>
      </c>
      <c r="B59" s="6">
        <v>45012</v>
      </c>
      <c r="C59" s="23">
        <v>44986</v>
      </c>
      <c r="D59" s="30"/>
      <c r="E59" s="28"/>
      <c r="F59" s="27"/>
      <c r="G59" s="13" t="s">
        <v>23</v>
      </c>
      <c r="H59" s="33" t="s">
        <v>24</v>
      </c>
      <c r="I59" s="37">
        <v>-215.04320000000001</v>
      </c>
      <c r="J59" s="12"/>
      <c r="K59" s="12">
        <f t="shared" si="13"/>
        <v>6.890000000024088E-2</v>
      </c>
      <c r="L59" s="33" t="s">
        <v>21</v>
      </c>
      <c r="M59" s="35">
        <v>680</v>
      </c>
      <c r="N59" s="12">
        <v>0</v>
      </c>
      <c r="O59" s="12">
        <f t="shared" si="14"/>
        <v>1425.8894428399981</v>
      </c>
      <c r="P59" s="33" t="s">
        <v>25</v>
      </c>
      <c r="Q59" s="65"/>
      <c r="R59" s="14" t="s">
        <v>26</v>
      </c>
      <c r="S59" s="13"/>
      <c r="T59" s="14"/>
      <c r="U59" s="13"/>
      <c r="V59" s="15"/>
      <c r="W59" s="10"/>
      <c r="X59" s="19"/>
    </row>
    <row r="60" spans="1:24" s="7" customFormat="1" ht="15" hidden="1" x14ac:dyDescent="0.2">
      <c r="A60" s="8" t="s">
        <v>18</v>
      </c>
      <c r="B60" s="6">
        <v>45012</v>
      </c>
      <c r="C60" s="6">
        <v>44986</v>
      </c>
      <c r="D60" s="31" t="s">
        <v>27</v>
      </c>
      <c r="E60" s="28">
        <v>547786843</v>
      </c>
      <c r="F60" s="26" t="s">
        <v>52</v>
      </c>
      <c r="G60" s="13" t="s">
        <v>29</v>
      </c>
      <c r="H60" s="33" t="s">
        <v>30</v>
      </c>
      <c r="I60" s="34"/>
      <c r="J60" s="32"/>
      <c r="K60" s="12">
        <f t="shared" si="13"/>
        <v>6.890000000024088E-2</v>
      </c>
      <c r="L60" s="33"/>
      <c r="M60" s="34">
        <v>-745</v>
      </c>
      <c r="N60" s="12">
        <v>0.02</v>
      </c>
      <c r="O60" s="12">
        <f t="shared" si="14"/>
        <v>680.8694428399981</v>
      </c>
      <c r="P60" s="33" t="s">
        <v>25</v>
      </c>
      <c r="Q60" s="39">
        <f>-I58</f>
        <v>235.44980000000001</v>
      </c>
      <c r="R60" s="14" t="s">
        <v>26</v>
      </c>
      <c r="S60" s="13"/>
      <c r="T60" s="14"/>
      <c r="U60" s="13" t="s">
        <v>33</v>
      </c>
      <c r="V60" s="15"/>
      <c r="W60" s="10"/>
      <c r="X60" s="16"/>
    </row>
    <row r="61" spans="1:24" s="7" customFormat="1" ht="15" hidden="1" x14ac:dyDescent="0.2">
      <c r="A61" s="8" t="s">
        <v>18</v>
      </c>
      <c r="B61" s="6">
        <v>45012</v>
      </c>
      <c r="C61" s="6">
        <v>44986</v>
      </c>
      <c r="D61" s="31" t="s">
        <v>27</v>
      </c>
      <c r="E61" s="28">
        <v>442734179</v>
      </c>
      <c r="F61" s="26" t="s">
        <v>53</v>
      </c>
      <c r="G61" s="13" t="s">
        <v>35</v>
      </c>
      <c r="H61" s="33" t="s">
        <v>30</v>
      </c>
      <c r="I61" s="34"/>
      <c r="J61" s="12">
        <v>0</v>
      </c>
      <c r="K61" s="12">
        <f t="shared" si="13"/>
        <v>6.890000000024088E-2</v>
      </c>
      <c r="L61" s="33"/>
      <c r="M61" s="34">
        <v>-680</v>
      </c>
      <c r="N61" s="12">
        <v>0.02</v>
      </c>
      <c r="O61" s="12">
        <f t="shared" si="14"/>
        <v>0.84944283999810066</v>
      </c>
      <c r="P61" s="33" t="s">
        <v>25</v>
      </c>
      <c r="Q61" s="38"/>
      <c r="R61" s="14" t="s">
        <v>26</v>
      </c>
      <c r="S61" s="25">
        <f>-I59</f>
        <v>215.04320000000001</v>
      </c>
      <c r="T61" s="14"/>
      <c r="U61" s="13" t="s">
        <v>36</v>
      </c>
      <c r="V61" s="15"/>
      <c r="W61" s="10"/>
      <c r="X61" s="16"/>
    </row>
    <row r="62" spans="1:24" s="7" customFormat="1" ht="15" hidden="1" x14ac:dyDescent="0.2">
      <c r="A62" s="8" t="s">
        <v>18</v>
      </c>
      <c r="B62" s="6">
        <v>45012</v>
      </c>
      <c r="C62" s="6">
        <v>45007</v>
      </c>
      <c r="D62" s="30"/>
      <c r="E62" s="28"/>
      <c r="F62" s="27"/>
      <c r="G62" s="13" t="s">
        <v>19</v>
      </c>
      <c r="H62" s="33" t="s">
        <v>20</v>
      </c>
      <c r="I62" s="34">
        <v>275</v>
      </c>
      <c r="J62" s="12"/>
      <c r="K62" s="12">
        <f t="shared" si="13"/>
        <v>275.06890000000021</v>
      </c>
      <c r="L62" s="33" t="s">
        <v>21</v>
      </c>
      <c r="M62" s="34"/>
      <c r="N62" s="12"/>
      <c r="O62" s="12">
        <f t="shared" si="14"/>
        <v>0.84944283999810066</v>
      </c>
      <c r="P62" s="33"/>
      <c r="Q62" s="38"/>
      <c r="R62" s="14"/>
      <c r="S62" s="64"/>
      <c r="T62" s="14"/>
      <c r="U62" s="68"/>
      <c r="V62" s="15"/>
      <c r="W62" s="10"/>
      <c r="X62" s="19" t="s">
        <v>22</v>
      </c>
    </row>
    <row r="63" spans="1:24" s="7" customFormat="1" ht="15" hidden="1" x14ac:dyDescent="0.2">
      <c r="A63" s="8" t="s">
        <v>18</v>
      </c>
      <c r="B63" s="6">
        <v>45012</v>
      </c>
      <c r="C63" s="23">
        <v>45007</v>
      </c>
      <c r="D63" s="30"/>
      <c r="E63" s="28"/>
      <c r="F63" s="27"/>
      <c r="G63" s="13" t="s">
        <v>23</v>
      </c>
      <c r="H63" s="33" t="s">
        <v>24</v>
      </c>
      <c r="I63" s="37">
        <v>-256.94549999999998</v>
      </c>
      <c r="J63" s="32"/>
      <c r="K63" s="12">
        <f t="shared" si="13"/>
        <v>18.123400000000231</v>
      </c>
      <c r="L63" s="33" t="s">
        <v>21</v>
      </c>
      <c r="M63" s="35">
        <v>700</v>
      </c>
      <c r="N63" s="12">
        <v>0</v>
      </c>
      <c r="O63" s="12">
        <f t="shared" si="14"/>
        <v>700.84944283999812</v>
      </c>
      <c r="P63" s="33" t="s">
        <v>25</v>
      </c>
      <c r="Q63" s="38"/>
      <c r="R63" s="14" t="s">
        <v>26</v>
      </c>
      <c r="S63" s="64"/>
      <c r="T63" s="14"/>
      <c r="U63" s="13"/>
      <c r="V63" s="15"/>
      <c r="W63" s="10"/>
      <c r="X63" s="19"/>
    </row>
    <row r="64" spans="1:24" s="7" customFormat="1" ht="15" hidden="1" x14ac:dyDescent="0.2">
      <c r="A64" s="8" t="s">
        <v>18</v>
      </c>
      <c r="B64" s="6">
        <v>45012</v>
      </c>
      <c r="C64" s="6">
        <v>45007</v>
      </c>
      <c r="D64" s="31" t="s">
        <v>27</v>
      </c>
      <c r="E64" s="28">
        <v>442734179</v>
      </c>
      <c r="F64" s="26" t="s">
        <v>54</v>
      </c>
      <c r="G64" s="13" t="s">
        <v>35</v>
      </c>
      <c r="H64" s="33" t="s">
        <v>30</v>
      </c>
      <c r="I64" s="34"/>
      <c r="J64" s="12">
        <v>0</v>
      </c>
      <c r="K64" s="12">
        <f t="shared" si="13"/>
        <v>18.123400000000231</v>
      </c>
      <c r="L64" s="33"/>
      <c r="M64" s="34">
        <v>-700</v>
      </c>
      <c r="N64" s="12">
        <v>0.02</v>
      </c>
      <c r="O64" s="12">
        <f t="shared" si="14"/>
        <v>0.82944283999811885</v>
      </c>
      <c r="P64" s="33" t="s">
        <v>25</v>
      </c>
      <c r="Q64" s="38"/>
      <c r="R64" s="14" t="s">
        <v>26</v>
      </c>
      <c r="S64" s="25">
        <f>-(I63)</f>
        <v>256.94549999999998</v>
      </c>
      <c r="T64" s="14"/>
      <c r="U64" s="13" t="s">
        <v>36</v>
      </c>
      <c r="V64" s="15"/>
      <c r="W64" s="10"/>
      <c r="X64" s="16"/>
    </row>
    <row r="65" spans="1:24" s="7" customFormat="1" ht="15" hidden="1" x14ac:dyDescent="0.2">
      <c r="A65" s="8" t="s">
        <v>18</v>
      </c>
      <c r="B65" s="6">
        <v>45012</v>
      </c>
      <c r="C65" s="6">
        <v>45010</v>
      </c>
      <c r="D65" s="30"/>
      <c r="E65" s="28"/>
      <c r="F65" s="27"/>
      <c r="G65" s="13" t="s">
        <v>19</v>
      </c>
      <c r="H65" s="33" t="s">
        <v>20</v>
      </c>
      <c r="I65" s="34">
        <v>1500</v>
      </c>
      <c r="J65" s="12"/>
      <c r="K65" s="12">
        <f t="shared" si="13"/>
        <v>1518.1234000000002</v>
      </c>
      <c r="L65" s="33" t="s">
        <v>21</v>
      </c>
      <c r="M65" s="34"/>
      <c r="N65" s="12"/>
      <c r="O65" s="12">
        <f t="shared" si="14"/>
        <v>0.82944283999811885</v>
      </c>
      <c r="P65" s="33"/>
      <c r="Q65" s="38"/>
      <c r="R65" s="14"/>
      <c r="S65" s="13"/>
      <c r="T65" s="14"/>
      <c r="U65" s="68"/>
      <c r="V65" s="15"/>
      <c r="W65" s="10"/>
      <c r="X65" s="19" t="s">
        <v>22</v>
      </c>
    </row>
    <row r="66" spans="1:24" s="7" customFormat="1" ht="15" hidden="1" x14ac:dyDescent="0.2">
      <c r="A66" s="8" t="s">
        <v>18</v>
      </c>
      <c r="B66" s="6">
        <v>45012</v>
      </c>
      <c r="C66" s="23">
        <v>45010</v>
      </c>
      <c r="D66" s="30"/>
      <c r="E66" s="28"/>
      <c r="F66" s="27"/>
      <c r="G66" s="13" t="s">
        <v>23</v>
      </c>
      <c r="H66" s="33" t="s">
        <v>24</v>
      </c>
      <c r="I66" s="37">
        <v>-1327.7607</v>
      </c>
      <c r="J66" s="12"/>
      <c r="K66" s="12">
        <f t="shared" si="13"/>
        <v>190.36270000000013</v>
      </c>
      <c r="L66" s="33" t="s">
        <v>21</v>
      </c>
      <c r="M66" s="35">
        <v>3645</v>
      </c>
      <c r="N66" s="12">
        <v>0</v>
      </c>
      <c r="O66" s="12">
        <f t="shared" si="14"/>
        <v>3645.8294428399981</v>
      </c>
      <c r="P66" s="33" t="s">
        <v>25</v>
      </c>
      <c r="Q66" s="38"/>
      <c r="R66" s="14" t="s">
        <v>26</v>
      </c>
      <c r="S66" s="13"/>
      <c r="T66" s="14"/>
      <c r="U66" s="13"/>
      <c r="V66" s="15"/>
      <c r="W66" s="10"/>
      <c r="X66" s="19"/>
    </row>
    <row r="67" spans="1:24" s="7" customFormat="1" ht="15" hidden="1" x14ac:dyDescent="0.2">
      <c r="A67" s="8" t="s">
        <v>18</v>
      </c>
      <c r="B67" s="6">
        <v>45012</v>
      </c>
      <c r="C67" s="6">
        <v>45010</v>
      </c>
      <c r="D67" s="31" t="s">
        <v>27</v>
      </c>
      <c r="E67" s="28">
        <v>547786843</v>
      </c>
      <c r="F67" s="26" t="s">
        <v>55</v>
      </c>
      <c r="G67" s="13" t="s">
        <v>29</v>
      </c>
      <c r="H67" s="33" t="s">
        <v>30</v>
      </c>
      <c r="I67" s="34"/>
      <c r="J67" s="32"/>
      <c r="K67" s="12">
        <f t="shared" si="13"/>
        <v>190.36270000000013</v>
      </c>
      <c r="L67" s="33"/>
      <c r="M67" s="34">
        <v>-3645</v>
      </c>
      <c r="N67" s="12">
        <v>0.02</v>
      </c>
      <c r="O67" s="12">
        <f t="shared" si="14"/>
        <v>0.80944283999813704</v>
      </c>
      <c r="P67" s="33" t="s">
        <v>25</v>
      </c>
      <c r="Q67" s="39">
        <f>-(I66)</f>
        <v>1327.7607</v>
      </c>
      <c r="R67" s="14" t="s">
        <v>26</v>
      </c>
      <c r="S67" s="13"/>
      <c r="T67" s="14"/>
      <c r="U67" s="13" t="s">
        <v>33</v>
      </c>
      <c r="V67" s="15"/>
      <c r="W67" s="10"/>
      <c r="X67" s="16"/>
    </row>
    <row r="68" spans="1:24" s="17" customFormat="1" ht="15" hidden="1" x14ac:dyDescent="0.2">
      <c r="A68" s="8" t="s">
        <v>18</v>
      </c>
      <c r="B68" s="6">
        <v>45012</v>
      </c>
      <c r="C68" s="6">
        <v>45012</v>
      </c>
      <c r="D68" s="30"/>
      <c r="E68" s="28"/>
      <c r="F68" s="27"/>
      <c r="G68" s="13" t="s">
        <v>56</v>
      </c>
      <c r="H68" s="33"/>
      <c r="I68" s="34"/>
      <c r="J68" s="62">
        <f>SUM(J57:J67)</f>
        <v>0</v>
      </c>
      <c r="K68" s="12"/>
      <c r="L68" s="33" t="s">
        <v>21</v>
      </c>
      <c r="M68" s="34"/>
      <c r="N68" s="62">
        <f>SUM(N34:N67)</f>
        <v>0.25999999999999995</v>
      </c>
      <c r="O68" s="12"/>
      <c r="P68" s="33" t="s">
        <v>25</v>
      </c>
      <c r="Q68" s="38"/>
      <c r="R68" s="14"/>
      <c r="S68" s="13"/>
      <c r="T68" s="14"/>
      <c r="U68" s="13" t="s">
        <v>40</v>
      </c>
      <c r="V68" s="15"/>
      <c r="W68" s="10"/>
      <c r="X68" s="16"/>
    </row>
    <row r="69" spans="1:24" ht="16" thickTop="1" x14ac:dyDescent="0.2">
      <c r="A69" s="8" t="s">
        <v>18</v>
      </c>
      <c r="B69" s="6">
        <v>45104</v>
      </c>
      <c r="C69" s="80">
        <v>45019</v>
      </c>
      <c r="D69" s="31" t="s">
        <v>27</v>
      </c>
      <c r="E69" s="28">
        <v>518294827</v>
      </c>
      <c r="F69" s="26" t="s">
        <v>57</v>
      </c>
      <c r="G69" s="13" t="s">
        <v>58</v>
      </c>
      <c r="H69" s="33" t="s">
        <v>30</v>
      </c>
      <c r="I69" s="34">
        <v>1536.54242</v>
      </c>
      <c r="J69" s="12"/>
      <c r="K69" s="12"/>
      <c r="L69" s="33" t="s">
        <v>21</v>
      </c>
      <c r="M69" s="34">
        <v>-3700</v>
      </c>
      <c r="N69" s="12"/>
      <c r="O69" s="12"/>
      <c r="P69" s="33" t="s">
        <v>25</v>
      </c>
      <c r="Q69" s="38"/>
      <c r="R69" s="14"/>
      <c r="S69" s="13"/>
      <c r="T69" s="14"/>
      <c r="U69" s="13" t="str">
        <f>_xlfn.CONCAT("Consulting fee - ",G69)</f>
        <v>Consulting fee - Alex Smirnov</v>
      </c>
      <c r="V69" s="17"/>
      <c r="W69" s="17"/>
      <c r="X69" s="18"/>
    </row>
    <row r="70" spans="1:24" ht="15" x14ac:dyDescent="0.2">
      <c r="A70" s="8" t="s">
        <v>18</v>
      </c>
      <c r="B70" s="6">
        <v>45104</v>
      </c>
      <c r="C70" s="80">
        <v>45028</v>
      </c>
      <c r="D70" s="31" t="s">
        <v>27</v>
      </c>
      <c r="E70" s="28">
        <v>547786843</v>
      </c>
      <c r="F70" s="26" t="s">
        <v>59</v>
      </c>
      <c r="G70" s="13" t="s">
        <v>29</v>
      </c>
      <c r="H70" s="33" t="s">
        <v>30</v>
      </c>
      <c r="I70" s="34">
        <v>800.56050800000003</v>
      </c>
      <c r="J70" s="12"/>
      <c r="K70" s="12"/>
      <c r="L70" s="33" t="s">
        <v>21</v>
      </c>
      <c r="M70" s="34">
        <v>-1975</v>
      </c>
      <c r="N70" s="12"/>
      <c r="O70" s="12"/>
      <c r="P70" s="33" t="s">
        <v>25</v>
      </c>
      <c r="Q70" s="38"/>
      <c r="R70" s="14"/>
      <c r="S70" s="13"/>
      <c r="T70" s="14"/>
      <c r="U70" s="13" t="str">
        <f t="shared" ref="U70:U87" si="15">_xlfn.CONCAT("Consulting fee - ",G70)</f>
        <v>Consulting fee - Aleksey Trofimov</v>
      </c>
      <c r="V70" s="17"/>
      <c r="W70" s="17"/>
      <c r="X70" s="18"/>
    </row>
    <row r="71" spans="1:24" ht="15" x14ac:dyDescent="0.2">
      <c r="A71" s="8" t="s">
        <v>18</v>
      </c>
      <c r="B71" s="6">
        <v>45104</v>
      </c>
      <c r="C71" s="80">
        <v>45032</v>
      </c>
      <c r="D71" s="31" t="s">
        <v>27</v>
      </c>
      <c r="E71" s="28">
        <v>442734179</v>
      </c>
      <c r="F71" s="26" t="s">
        <v>60</v>
      </c>
      <c r="G71" s="13" t="s">
        <v>35</v>
      </c>
      <c r="H71" s="33" t="s">
        <v>30</v>
      </c>
      <c r="I71" s="34">
        <v>98.85745</v>
      </c>
      <c r="J71" s="12"/>
      <c r="K71" s="12"/>
      <c r="L71" s="33" t="s">
        <v>21</v>
      </c>
      <c r="M71" s="34">
        <v>-235</v>
      </c>
      <c r="N71" s="12"/>
      <c r="O71" s="12"/>
      <c r="P71" s="33" t="s">
        <v>25</v>
      </c>
      <c r="Q71" s="38"/>
      <c r="R71" s="14"/>
      <c r="S71" s="13"/>
      <c r="T71" s="14"/>
      <c r="U71" s="13" t="str">
        <f t="shared" si="15"/>
        <v>Consulting fee - Evgeniy Ulyukin</v>
      </c>
      <c r="V71" s="17"/>
      <c r="W71" s="17"/>
      <c r="X71" s="18"/>
    </row>
    <row r="72" spans="1:24" ht="15" x14ac:dyDescent="0.2">
      <c r="A72" s="8" t="s">
        <v>18</v>
      </c>
      <c r="B72" s="6">
        <v>45104</v>
      </c>
      <c r="C72" s="80">
        <v>45037</v>
      </c>
      <c r="D72" s="31" t="s">
        <v>27</v>
      </c>
      <c r="E72" s="28">
        <v>518294827</v>
      </c>
      <c r="F72" s="26" t="s">
        <v>61</v>
      </c>
      <c r="G72" s="13" t="s">
        <v>58</v>
      </c>
      <c r="H72" s="33" t="s">
        <v>30</v>
      </c>
      <c r="I72" s="34">
        <v>860.89660000000003</v>
      </c>
      <c r="J72" s="12"/>
      <c r="K72" s="12"/>
      <c r="L72" s="33" t="s">
        <v>21</v>
      </c>
      <c r="M72" s="34">
        <v>-2285</v>
      </c>
      <c r="N72" s="12"/>
      <c r="O72" s="12"/>
      <c r="P72" s="33" t="s">
        <v>25</v>
      </c>
      <c r="Q72" s="38"/>
      <c r="R72" s="14"/>
      <c r="S72" s="13"/>
      <c r="T72" s="14"/>
      <c r="U72" s="13" t="str">
        <f t="shared" si="15"/>
        <v>Consulting fee - Alex Smirnov</v>
      </c>
      <c r="V72" s="17"/>
      <c r="W72" s="17"/>
      <c r="X72" s="18"/>
    </row>
    <row r="73" spans="1:24" ht="15" x14ac:dyDescent="0.2">
      <c r="A73" s="8" t="s">
        <v>18</v>
      </c>
      <c r="B73" s="6">
        <v>45104</v>
      </c>
      <c r="C73" s="80">
        <v>45037</v>
      </c>
      <c r="D73" s="31" t="s">
        <v>27</v>
      </c>
      <c r="E73" s="28">
        <v>442734179</v>
      </c>
      <c r="F73" s="26" t="s">
        <v>62</v>
      </c>
      <c r="G73" s="13" t="s">
        <v>35</v>
      </c>
      <c r="H73" s="33" t="s">
        <v>30</v>
      </c>
      <c r="I73" s="34">
        <v>250.30961859999999</v>
      </c>
      <c r="J73" s="12"/>
      <c r="K73" s="12"/>
      <c r="L73" s="33" t="s">
        <v>21</v>
      </c>
      <c r="M73" s="34">
        <v>-665</v>
      </c>
      <c r="N73" s="12"/>
      <c r="O73" s="12"/>
      <c r="P73" s="33" t="s">
        <v>25</v>
      </c>
      <c r="Q73" s="38"/>
      <c r="R73" s="14"/>
      <c r="S73" s="13"/>
      <c r="T73" s="14"/>
      <c r="U73" s="13" t="str">
        <f t="shared" si="15"/>
        <v>Consulting fee - Evgeniy Ulyukin</v>
      </c>
      <c r="V73" s="17"/>
      <c r="W73" s="17"/>
      <c r="X73" s="18"/>
    </row>
    <row r="74" spans="1:24" ht="15" x14ac:dyDescent="0.2">
      <c r="A74" s="8" t="s">
        <v>18</v>
      </c>
      <c r="B74" s="6">
        <v>45104</v>
      </c>
      <c r="C74" s="80">
        <v>45038</v>
      </c>
      <c r="D74" s="31" t="s">
        <v>27</v>
      </c>
      <c r="E74" s="28">
        <v>547786843</v>
      </c>
      <c r="F74" s="26" t="s">
        <v>63</v>
      </c>
      <c r="G74" s="13" t="s">
        <v>29</v>
      </c>
      <c r="H74" s="33" t="s">
        <v>30</v>
      </c>
      <c r="I74" s="34">
        <v>2764.0467979999999</v>
      </c>
      <c r="J74" s="12"/>
      <c r="K74" s="12"/>
      <c r="L74" s="33" t="s">
        <v>21</v>
      </c>
      <c r="M74" s="34">
        <v>-7600</v>
      </c>
      <c r="N74" s="12"/>
      <c r="O74" s="12"/>
      <c r="P74" s="33" t="s">
        <v>25</v>
      </c>
      <c r="Q74" s="38"/>
      <c r="R74" s="14"/>
      <c r="S74" s="13"/>
      <c r="T74" s="14"/>
      <c r="U74" s="13" t="str">
        <f t="shared" si="15"/>
        <v>Consulting fee - Aleksey Trofimov</v>
      </c>
      <c r="V74" s="17"/>
      <c r="W74" s="17"/>
      <c r="X74" s="18"/>
    </row>
    <row r="75" spans="1:24" ht="15" x14ac:dyDescent="0.2">
      <c r="A75" s="8" t="s">
        <v>18</v>
      </c>
      <c r="B75" s="6">
        <v>45104</v>
      </c>
      <c r="C75" s="6">
        <v>45047</v>
      </c>
      <c r="D75" s="31" t="s">
        <v>27</v>
      </c>
      <c r="E75" s="28">
        <v>518294827</v>
      </c>
      <c r="F75" s="26" t="s">
        <v>64</v>
      </c>
      <c r="G75" s="13" t="s">
        <v>58</v>
      </c>
      <c r="H75" s="33" t="s">
        <v>30</v>
      </c>
      <c r="I75" s="34">
        <v>1707.2419190000001</v>
      </c>
      <c r="J75" s="12"/>
      <c r="K75" s="12"/>
      <c r="L75" s="33" t="s">
        <v>21</v>
      </c>
      <c r="M75" s="34">
        <v>-4630</v>
      </c>
      <c r="N75" s="12"/>
      <c r="O75" s="12"/>
      <c r="P75" s="33" t="s">
        <v>25</v>
      </c>
      <c r="Q75" s="38"/>
      <c r="R75" s="14"/>
      <c r="S75" s="13"/>
      <c r="T75" s="14"/>
      <c r="U75" s="13" t="str">
        <f t="shared" si="15"/>
        <v>Consulting fee - Alex Smirnov</v>
      </c>
      <c r="V75" s="17"/>
      <c r="W75" s="17"/>
      <c r="X75" s="18"/>
    </row>
    <row r="76" spans="1:24" ht="15" x14ac:dyDescent="0.2">
      <c r="A76" s="8" t="s">
        <v>18</v>
      </c>
      <c r="B76" s="6">
        <v>45104</v>
      </c>
      <c r="C76" s="6">
        <v>45054</v>
      </c>
      <c r="D76" s="31" t="s">
        <v>27</v>
      </c>
      <c r="E76" s="28">
        <v>442734179</v>
      </c>
      <c r="F76" s="26" t="s">
        <v>65</v>
      </c>
      <c r="G76" s="13" t="s">
        <v>35</v>
      </c>
      <c r="H76" s="33" t="s">
        <v>30</v>
      </c>
      <c r="I76" s="34">
        <v>1344.8547140000001</v>
      </c>
      <c r="J76" s="12"/>
      <c r="K76" s="12"/>
      <c r="L76" s="33" t="s">
        <v>21</v>
      </c>
      <c r="M76" s="34">
        <v>-3900</v>
      </c>
      <c r="N76" s="12"/>
      <c r="O76" s="12"/>
      <c r="P76" s="33" t="s">
        <v>25</v>
      </c>
      <c r="Q76" s="38"/>
      <c r="R76" s="14"/>
      <c r="S76" s="13"/>
      <c r="T76" s="14"/>
      <c r="U76" s="13" t="str">
        <f t="shared" si="15"/>
        <v>Consulting fee - Evgeniy Ulyukin</v>
      </c>
      <c r="V76" s="17"/>
      <c r="W76" s="17"/>
      <c r="X76" s="18"/>
    </row>
    <row r="77" spans="1:24" ht="15" x14ac:dyDescent="0.2">
      <c r="A77" s="8" t="s">
        <v>18</v>
      </c>
      <c r="B77" s="6">
        <v>45104</v>
      </c>
      <c r="C77" s="6">
        <v>45060</v>
      </c>
      <c r="D77" s="31" t="s">
        <v>27</v>
      </c>
      <c r="E77" s="28">
        <v>518294827</v>
      </c>
      <c r="F77" s="26" t="s">
        <v>66</v>
      </c>
      <c r="G77" s="13" t="s">
        <v>58</v>
      </c>
      <c r="H77" s="33" t="s">
        <v>30</v>
      </c>
      <c r="I77" s="34">
        <v>384.45507520000001</v>
      </c>
      <c r="J77" s="12"/>
      <c r="K77" s="12"/>
      <c r="L77" s="33" t="s">
        <v>21</v>
      </c>
      <c r="M77" s="34">
        <v>-1119.82</v>
      </c>
      <c r="N77" s="12"/>
      <c r="O77" s="12"/>
      <c r="P77" s="33" t="s">
        <v>25</v>
      </c>
      <c r="Q77" s="38"/>
      <c r="R77" s="14"/>
      <c r="S77" s="13"/>
      <c r="T77" s="14"/>
      <c r="U77" s="13" t="str">
        <f t="shared" si="15"/>
        <v>Consulting fee - Alex Smirnov</v>
      </c>
      <c r="V77" s="17"/>
      <c r="W77" s="17"/>
      <c r="X77" s="18"/>
    </row>
    <row r="78" spans="1:24" ht="15" x14ac:dyDescent="0.2">
      <c r="A78" s="8" t="s">
        <v>18</v>
      </c>
      <c r="B78" s="6">
        <v>45104</v>
      </c>
      <c r="C78" s="6">
        <v>45068</v>
      </c>
      <c r="D78" s="31" t="s">
        <v>27</v>
      </c>
      <c r="E78" s="28">
        <v>518294827</v>
      </c>
      <c r="F78" s="26" t="s">
        <v>67</v>
      </c>
      <c r="G78" s="13" t="s">
        <v>58</v>
      </c>
      <c r="H78" s="33" t="s">
        <v>30</v>
      </c>
      <c r="I78" s="34">
        <v>738.93378810000002</v>
      </c>
      <c r="J78" s="12"/>
      <c r="K78" s="12"/>
      <c r="L78" s="33" t="s">
        <v>21</v>
      </c>
      <c r="M78" s="34">
        <v>-2000</v>
      </c>
      <c r="N78" s="12"/>
      <c r="O78" s="12"/>
      <c r="P78" s="33" t="s">
        <v>25</v>
      </c>
      <c r="Q78" s="38"/>
      <c r="R78" s="14"/>
      <c r="S78" s="13"/>
      <c r="T78" s="14"/>
      <c r="U78" s="13" t="str">
        <f t="shared" si="15"/>
        <v>Consulting fee - Alex Smirnov</v>
      </c>
      <c r="V78" s="17"/>
      <c r="W78" s="17"/>
      <c r="X78" s="18"/>
    </row>
    <row r="79" spans="1:24" ht="15" x14ac:dyDescent="0.2">
      <c r="A79" s="8" t="s">
        <v>18</v>
      </c>
      <c r="B79" s="6">
        <v>45104</v>
      </c>
      <c r="C79" s="6">
        <v>45068</v>
      </c>
      <c r="D79" s="31" t="s">
        <v>27</v>
      </c>
      <c r="E79" s="28">
        <v>547786843</v>
      </c>
      <c r="F79" s="26" t="s">
        <v>68</v>
      </c>
      <c r="G79" s="13" t="s">
        <v>29</v>
      </c>
      <c r="H79" s="33" t="s">
        <v>30</v>
      </c>
      <c r="I79" s="34">
        <v>2122.9856730000001</v>
      </c>
      <c r="J79" s="12"/>
      <c r="K79" s="12"/>
      <c r="L79" s="33" t="s">
        <v>21</v>
      </c>
      <c r="M79" s="34">
        <v>-5780</v>
      </c>
      <c r="N79" s="12"/>
      <c r="O79" s="12"/>
      <c r="P79" s="33" t="s">
        <v>25</v>
      </c>
      <c r="Q79" s="38"/>
      <c r="R79" s="14"/>
      <c r="S79" s="13"/>
      <c r="T79" s="14"/>
      <c r="U79" s="13" t="str">
        <f t="shared" si="15"/>
        <v>Consulting fee - Aleksey Trofimov</v>
      </c>
      <c r="V79" s="17"/>
      <c r="W79" s="17"/>
      <c r="X79" s="18"/>
    </row>
    <row r="80" spans="1:24" ht="15" x14ac:dyDescent="0.2">
      <c r="A80" s="8" t="s">
        <v>18</v>
      </c>
      <c r="B80" s="6">
        <v>45104</v>
      </c>
      <c r="C80" s="6">
        <v>45070</v>
      </c>
      <c r="D80" s="31" t="s">
        <v>27</v>
      </c>
      <c r="E80" s="28">
        <v>442734179</v>
      </c>
      <c r="F80" s="26" t="s">
        <v>69</v>
      </c>
      <c r="G80" s="13" t="s">
        <v>35</v>
      </c>
      <c r="H80" s="33" t="s">
        <v>30</v>
      </c>
      <c r="I80" s="34">
        <v>500.03960560000002</v>
      </c>
      <c r="J80" s="12"/>
      <c r="K80" s="12"/>
      <c r="L80" s="33" t="s">
        <v>21</v>
      </c>
      <c r="M80" s="34">
        <v>-1365</v>
      </c>
      <c r="N80" s="12"/>
      <c r="O80" s="12"/>
      <c r="P80" s="33" t="s">
        <v>25</v>
      </c>
      <c r="Q80" s="38"/>
      <c r="R80" s="14"/>
      <c r="S80" s="13"/>
      <c r="T80" s="14"/>
      <c r="U80" s="13" t="str">
        <f t="shared" si="15"/>
        <v>Consulting fee - Evgeniy Ulyukin</v>
      </c>
      <c r="V80" s="17"/>
      <c r="W80" s="17"/>
      <c r="X80" s="18"/>
    </row>
    <row r="81" spans="1:24" ht="15" x14ac:dyDescent="0.2">
      <c r="A81" s="8" t="s">
        <v>18</v>
      </c>
      <c r="B81" s="6">
        <v>45104</v>
      </c>
      <c r="C81" s="6">
        <v>45071</v>
      </c>
      <c r="D81" s="31" t="s">
        <v>27</v>
      </c>
      <c r="E81" s="28">
        <v>373650723</v>
      </c>
      <c r="F81" s="26" t="s">
        <v>70</v>
      </c>
      <c r="G81" s="13" t="s">
        <v>71</v>
      </c>
      <c r="H81" s="33" t="s">
        <v>30</v>
      </c>
      <c r="I81" s="34">
        <v>18.332035999999999</v>
      </c>
      <c r="J81" s="12"/>
      <c r="K81" s="12"/>
      <c r="L81" s="33" t="s">
        <v>21</v>
      </c>
      <c r="M81" s="34">
        <v>-50</v>
      </c>
      <c r="N81" s="12"/>
      <c r="O81" s="12"/>
      <c r="P81" s="33" t="s">
        <v>25</v>
      </c>
      <c r="Q81" s="38"/>
      <c r="R81" s="14"/>
      <c r="S81" s="13"/>
      <c r="T81" s="14"/>
      <c r="U81" s="13" t="str">
        <f t="shared" si="15"/>
        <v>Consulting fee - Ivan Maltsev</v>
      </c>
      <c r="V81" s="17"/>
      <c r="W81" s="17"/>
      <c r="X81" s="18"/>
    </row>
    <row r="82" spans="1:24" ht="15" x14ac:dyDescent="0.2">
      <c r="A82" s="8" t="s">
        <v>18</v>
      </c>
      <c r="B82" s="6">
        <v>45104</v>
      </c>
      <c r="C82" s="6">
        <v>45072</v>
      </c>
      <c r="D82" s="31" t="s">
        <v>27</v>
      </c>
      <c r="E82" s="28">
        <v>373650723</v>
      </c>
      <c r="F82" s="26" t="s">
        <v>72</v>
      </c>
      <c r="G82" s="13" t="s">
        <v>71</v>
      </c>
      <c r="H82" s="33" t="s">
        <v>30</v>
      </c>
      <c r="I82" s="34">
        <v>600.05846499999996</v>
      </c>
      <c r="J82" s="12"/>
      <c r="K82" s="12"/>
      <c r="L82" s="33" t="s">
        <v>21</v>
      </c>
      <c r="M82" s="34">
        <v>-1600</v>
      </c>
      <c r="N82" s="12"/>
      <c r="O82" s="12"/>
      <c r="P82" s="33" t="s">
        <v>25</v>
      </c>
      <c r="Q82" s="38"/>
      <c r="R82" s="14"/>
      <c r="S82" s="13"/>
      <c r="T82" s="14"/>
      <c r="U82" s="13" t="str">
        <f t="shared" si="15"/>
        <v>Consulting fee - Ivan Maltsev</v>
      </c>
      <c r="V82" s="17"/>
      <c r="W82" s="17"/>
      <c r="X82" s="18"/>
    </row>
    <row r="83" spans="1:24" ht="15" x14ac:dyDescent="0.2">
      <c r="A83" s="8" t="s">
        <v>18</v>
      </c>
      <c r="B83" s="6">
        <v>45104</v>
      </c>
      <c r="C83" s="6">
        <v>45076</v>
      </c>
      <c r="D83" s="31" t="s">
        <v>27</v>
      </c>
      <c r="E83" s="28">
        <v>373650723</v>
      </c>
      <c r="F83" s="26" t="s">
        <v>73</v>
      </c>
      <c r="G83" s="13" t="s">
        <v>71</v>
      </c>
      <c r="H83" s="33" t="s">
        <v>30</v>
      </c>
      <c r="I83" s="34">
        <v>726.09465230000001</v>
      </c>
      <c r="J83" s="12"/>
      <c r="K83" s="12"/>
      <c r="L83" s="33" t="s">
        <v>21</v>
      </c>
      <c r="M83" s="34">
        <v>-1725</v>
      </c>
      <c r="N83" s="12"/>
      <c r="O83" s="12"/>
      <c r="P83" s="33" t="s">
        <v>25</v>
      </c>
      <c r="Q83" s="38"/>
      <c r="R83" s="14"/>
      <c r="S83" s="13"/>
      <c r="T83" s="14"/>
      <c r="U83" s="13" t="str">
        <f t="shared" si="15"/>
        <v>Consulting fee - Ivan Maltsev</v>
      </c>
      <c r="V83" s="17"/>
      <c r="W83" s="17"/>
      <c r="X83" s="18"/>
    </row>
    <row r="84" spans="1:24" ht="15" x14ac:dyDescent="0.2">
      <c r="A84" s="8" t="s">
        <v>18</v>
      </c>
      <c r="B84" s="6">
        <v>45104</v>
      </c>
      <c r="C84" s="6">
        <v>45080</v>
      </c>
      <c r="D84" s="31" t="s">
        <v>27</v>
      </c>
      <c r="E84" s="28">
        <v>547786843</v>
      </c>
      <c r="F84" s="26" t="s">
        <v>74</v>
      </c>
      <c r="G84" s="13" t="s">
        <v>29</v>
      </c>
      <c r="H84" s="33" t="s">
        <v>30</v>
      </c>
      <c r="I84" s="34">
        <v>2465.21</v>
      </c>
      <c r="J84" s="12"/>
      <c r="K84" s="12"/>
      <c r="L84" s="33" t="s">
        <v>21</v>
      </c>
      <c r="M84" s="34">
        <v>-5860</v>
      </c>
      <c r="N84" s="12"/>
      <c r="O84" s="12"/>
      <c r="P84" s="33" t="s">
        <v>25</v>
      </c>
      <c r="Q84" s="38"/>
      <c r="R84" s="14"/>
      <c r="S84" s="13"/>
      <c r="T84" s="14"/>
      <c r="U84" s="13" t="str">
        <f t="shared" si="15"/>
        <v>Consulting fee - Aleksey Trofimov</v>
      </c>
      <c r="V84" s="17"/>
      <c r="W84" s="17"/>
      <c r="X84" s="18"/>
    </row>
    <row r="85" spans="1:24" ht="15" x14ac:dyDescent="0.2">
      <c r="A85" s="8" t="s">
        <v>18</v>
      </c>
      <c r="B85" s="6">
        <v>45104</v>
      </c>
      <c r="C85" s="6">
        <v>45091</v>
      </c>
      <c r="D85" s="31" t="s">
        <v>27</v>
      </c>
      <c r="E85" s="28">
        <v>547786843</v>
      </c>
      <c r="F85" s="26" t="s">
        <v>75</v>
      </c>
      <c r="G85" s="13" t="s">
        <v>29</v>
      </c>
      <c r="H85" s="33" t="s">
        <v>30</v>
      </c>
      <c r="I85" s="34">
        <v>1501.1150339999999</v>
      </c>
      <c r="J85" s="12"/>
      <c r="K85" s="12"/>
      <c r="L85" s="33" t="s">
        <v>21</v>
      </c>
      <c r="M85" s="34">
        <v>-3775</v>
      </c>
      <c r="N85" s="12"/>
      <c r="O85" s="12"/>
      <c r="P85" s="33" t="s">
        <v>25</v>
      </c>
      <c r="Q85" s="38"/>
      <c r="R85" s="14"/>
      <c r="S85" s="13"/>
      <c r="T85" s="14"/>
      <c r="U85" s="13" t="str">
        <f t="shared" si="15"/>
        <v>Consulting fee - Aleksey Trofimov</v>
      </c>
      <c r="V85" s="17"/>
      <c r="W85" s="17"/>
      <c r="X85" s="18"/>
    </row>
    <row r="86" spans="1:24" ht="15" x14ac:dyDescent="0.2">
      <c r="A86" s="8" t="s">
        <v>18</v>
      </c>
      <c r="B86" s="6">
        <v>45104</v>
      </c>
      <c r="C86" s="6">
        <v>45099</v>
      </c>
      <c r="D86" s="31" t="s">
        <v>27</v>
      </c>
      <c r="E86" s="28">
        <v>547786843</v>
      </c>
      <c r="F86" s="26" t="s">
        <v>76</v>
      </c>
      <c r="G86" s="13" t="s">
        <v>29</v>
      </c>
      <c r="H86" s="33" t="s">
        <v>30</v>
      </c>
      <c r="I86" s="34">
        <v>2370.7485109999998</v>
      </c>
      <c r="J86" s="12"/>
      <c r="K86" s="12"/>
      <c r="L86" s="33" t="s">
        <v>21</v>
      </c>
      <c r="M86" s="34">
        <v>-6120</v>
      </c>
      <c r="N86" s="12"/>
      <c r="O86" s="12"/>
      <c r="P86" s="33" t="s">
        <v>25</v>
      </c>
      <c r="Q86" s="38"/>
      <c r="R86" s="14"/>
      <c r="S86" s="13"/>
      <c r="T86" s="14"/>
      <c r="U86" s="13" t="str">
        <f t="shared" si="15"/>
        <v>Consulting fee - Aleksey Trofimov</v>
      </c>
      <c r="V86" s="17"/>
      <c r="W86" s="17"/>
      <c r="X86" s="18"/>
    </row>
    <row r="87" spans="1:24" ht="15" x14ac:dyDescent="0.2">
      <c r="A87" s="8" t="s">
        <v>18</v>
      </c>
      <c r="B87" s="6">
        <v>45104</v>
      </c>
      <c r="C87" s="6">
        <v>45099</v>
      </c>
      <c r="D87" s="31" t="s">
        <v>27</v>
      </c>
      <c r="E87" s="28">
        <v>442734179</v>
      </c>
      <c r="F87" s="26" t="s">
        <v>77</v>
      </c>
      <c r="G87" s="13" t="s">
        <v>35</v>
      </c>
      <c r="H87" s="33" t="s">
        <v>30</v>
      </c>
      <c r="I87" s="34">
        <v>310.58033490000003</v>
      </c>
      <c r="J87" s="12"/>
      <c r="K87" s="12"/>
      <c r="L87" s="33" t="s">
        <v>21</v>
      </c>
      <c r="M87" s="34">
        <v>-800</v>
      </c>
      <c r="N87" s="12"/>
      <c r="O87" s="12"/>
      <c r="P87" s="33" t="s">
        <v>25</v>
      </c>
      <c r="Q87" s="38"/>
      <c r="R87" s="14"/>
      <c r="S87" s="13"/>
      <c r="T87" s="14"/>
      <c r="U87" s="13" t="str">
        <f t="shared" si="15"/>
        <v>Consulting fee - Evgeniy Ulyukin</v>
      </c>
      <c r="V87" s="17"/>
      <c r="W87" s="17"/>
      <c r="X87" s="18"/>
    </row>
    <row r="88" spans="1:24" x14ac:dyDescent="0.2">
      <c r="B88" s="20"/>
      <c r="C88" s="20"/>
      <c r="G88" s="17"/>
      <c r="H88" s="17"/>
      <c r="I88" s="21"/>
      <c r="J88" s="21"/>
      <c r="K88" s="21"/>
      <c r="L88" s="17"/>
      <c r="M88" s="21"/>
      <c r="N88" s="21"/>
      <c r="O88" s="21"/>
      <c r="P88" s="17"/>
      <c r="Q88" s="17"/>
      <c r="R88" s="75"/>
      <c r="S88" s="17"/>
      <c r="T88" s="75"/>
      <c r="U88" s="76"/>
      <c r="V88" s="17"/>
      <c r="W88" s="17"/>
      <c r="X88" s="18"/>
    </row>
  </sheetData>
  <autoFilter ref="A1:X87" xr:uid="{00000000-0009-0000-0000-000001000000}">
    <filterColumn colId="1">
      <filters>
        <dateGroupItem year="2023" month="6" dateTimeGrouping="month"/>
      </filters>
    </filterColumn>
  </autoFilter>
  <mergeCells count="2">
    <mergeCell ref="Q1:R1"/>
    <mergeCell ref="S1:T1"/>
  </mergeCells>
  <hyperlinks>
    <hyperlink ref="F19" r:id="rId1" xr:uid="{42F87846-EF67-4280-85D1-3C950A3F2204}"/>
    <hyperlink ref="F5" r:id="rId2" xr:uid="{5A73B5D6-FC11-4527-86F9-4FE265A61866}"/>
    <hyperlink ref="F7" r:id="rId3" xr:uid="{A9E1F9E1-586E-4CA3-B34F-9246CD33034C}"/>
    <hyperlink ref="F9" r:id="rId4" xr:uid="{7874F24E-E48E-477F-B88E-E27A474E7FA4}"/>
    <hyperlink ref="F12" r:id="rId5" xr:uid="{E91055D4-BF7E-47E7-AD8B-A1EEEEAAE925}"/>
    <hyperlink ref="F16" r:id="rId6" xr:uid="{71D0BB90-C77D-42DC-9745-1C598EA68B73}"/>
    <hyperlink ref="F23" r:id="rId7" xr:uid="{EB1AAC44-A639-4246-87A4-62A727401E62}"/>
    <hyperlink ref="F26" r:id="rId8" xr:uid="{97252A95-E06B-4FC3-AA4A-F6F491C6DB09}"/>
    <hyperlink ref="F29" r:id="rId9" xr:uid="{65D0845D-DE78-4DCF-9E55-E6EA06116B45}"/>
    <hyperlink ref="F32" r:id="rId10" xr:uid="{D5FC189F-7C97-46EE-8ABF-5142486F0D51}"/>
    <hyperlink ref="F43" r:id="rId11" xr:uid="{69826834-47BE-452E-A05F-E20963B85306}"/>
    <hyperlink ref="F44" r:id="rId12" xr:uid="{57FFDB40-6351-4B9C-B8B4-97F3D165BD86}"/>
    <hyperlink ref="F47" r:id="rId13" xr:uid="{221F90B4-01A4-4208-846D-E6E009918D71}"/>
    <hyperlink ref="F50" r:id="rId14" xr:uid="{6702B17B-34A0-43BA-BB2D-E3B3CE6373C1}"/>
    <hyperlink ref="F53" r:id="rId15" xr:uid="{6E4CFEDD-6BEB-4520-8617-C76EF7A0FC82}"/>
    <hyperlink ref="F56" r:id="rId16" xr:uid="{B2D523C7-C814-4A7B-A599-7A2054444189}"/>
    <hyperlink ref="F60" r:id="rId17" xr:uid="{7EE69AE7-4317-4044-9B0B-9B309B57AA17}"/>
    <hyperlink ref="F61" r:id="rId18" xr:uid="{A0B014F1-57AA-4B47-B0C2-A7A7BD4AED89}"/>
    <hyperlink ref="F64" r:id="rId19" xr:uid="{D6473BDE-45E7-46AF-A772-82C38BD20C0B}"/>
    <hyperlink ref="F67" r:id="rId20" xr:uid="{EB6D6724-1D06-497F-9DCA-5521E7C545F8}"/>
    <hyperlink ref="F69" r:id="rId21" xr:uid="{BCC9625B-8FC7-4403-AFBF-9F4D56E89BE9}"/>
    <hyperlink ref="F70" r:id="rId22" xr:uid="{75BE0F24-2D2A-4BC6-9C75-D082B298AC07}"/>
    <hyperlink ref="F71" r:id="rId23" xr:uid="{105E66EC-4477-4DDA-A3FA-EE9022B60F62}"/>
    <hyperlink ref="F72" r:id="rId24" xr:uid="{6D89BD5F-2AA1-47F5-B76F-DEBA67CF759F}"/>
    <hyperlink ref="F73" r:id="rId25" xr:uid="{BCBDE4A1-04D7-4C1C-830B-0940926A175A}"/>
    <hyperlink ref="F74" r:id="rId26" xr:uid="{6191AC14-D022-4A29-B08C-5F1BB9F55249}"/>
    <hyperlink ref="F75" r:id="rId27" xr:uid="{6E3AA2E1-DB13-41D1-8DC5-078594A3843A}"/>
    <hyperlink ref="F76" r:id="rId28" xr:uid="{389DEA0F-D14D-4889-AB86-12BFF09EE703}"/>
    <hyperlink ref="F77" r:id="rId29" xr:uid="{DD605F16-E010-4B29-B88F-AEB42FADE5A8}"/>
    <hyperlink ref="F78" r:id="rId30" xr:uid="{E712C971-B7F5-48A3-BF01-AA3590FCFE09}"/>
    <hyperlink ref="F79" r:id="rId31" xr:uid="{A984AB27-1997-4784-B5FF-3098B4B3C690}"/>
    <hyperlink ref="F80" r:id="rId32" xr:uid="{120656EA-EB5D-43BE-A58B-CF1F3A963E30}"/>
    <hyperlink ref="F81" r:id="rId33" xr:uid="{DB855413-C0AB-4A56-94D9-DFFDD55DD8A2}"/>
    <hyperlink ref="F82" r:id="rId34" xr:uid="{4562A60F-6F38-4602-8CA0-E1BD05F526C3}"/>
    <hyperlink ref="F83" r:id="rId35" xr:uid="{7E700386-D09E-48E2-B369-B3BF2D006D0B}"/>
    <hyperlink ref="F84" r:id="rId36" xr:uid="{35BD3630-7610-4174-9EDB-0A5023A2CE2F}"/>
    <hyperlink ref="F85" r:id="rId37" xr:uid="{1A2AB756-962C-42FF-BD04-EFEA469269BB}"/>
    <hyperlink ref="F86" r:id="rId38" xr:uid="{430C9739-DB5E-4F54-B88D-BD0F2007E2F2}"/>
    <hyperlink ref="F87" r:id="rId39" xr:uid="{4F029948-BFCE-40A6-90E8-ADE5539338B5}"/>
  </hyperlinks>
  <pageMargins left="0.7" right="0.7" top="0.75" bottom="0.75" header="0.3" footer="0.3"/>
  <pageSetup paperSize="9" orientation="portrait" r:id="rId40"/>
  <drawing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FFBD-20DD-41C2-8B15-D1B9423BE686}">
  <dimension ref="A1:AC187"/>
  <sheetViews>
    <sheetView workbookViewId="0">
      <pane ySplit="2" topLeftCell="A166" activePane="bottomLeft" state="frozen"/>
      <selection pane="bottomLeft" activeCell="G168" sqref="G168"/>
    </sheetView>
  </sheetViews>
  <sheetFormatPr baseColWidth="10" defaultColWidth="8.83203125" defaultRowHeight="13" outlineLevelCol="1" x14ac:dyDescent="0.15"/>
  <cols>
    <col min="1" max="1" width="9.5" bestFit="1" customWidth="1"/>
    <col min="2" max="2" width="9.1640625" bestFit="1" customWidth="1"/>
    <col min="4" max="4" width="10.5" bestFit="1" customWidth="1"/>
    <col min="5" max="5" width="10.5" customWidth="1"/>
    <col min="6" max="6" width="24" customWidth="1"/>
    <col min="7" max="7" width="27.83203125" bestFit="1" customWidth="1"/>
    <col min="8" max="8" width="15.6640625" bestFit="1" customWidth="1"/>
    <col min="9" max="9" width="9.83203125" bestFit="1" customWidth="1"/>
    <col min="10" max="10" width="7.6640625" bestFit="1" customWidth="1"/>
    <col min="11" max="11" width="8.33203125" bestFit="1" customWidth="1"/>
    <col min="12" max="12" width="6.1640625" bestFit="1" customWidth="1"/>
    <col min="13" max="13" width="10.6640625" bestFit="1" customWidth="1"/>
    <col min="14" max="14" width="7.1640625" bestFit="1" customWidth="1"/>
    <col min="15" max="15" width="12.1640625" bestFit="1" customWidth="1"/>
    <col min="16" max="16" width="24.5" bestFit="1" customWidth="1"/>
    <col min="17" max="17" width="23.5" hidden="1" customWidth="1" outlineLevel="1"/>
    <col min="18" max="18" width="8.83203125" bestFit="1" customWidth="1" collapsed="1"/>
    <col min="19" max="19" width="12.1640625" bestFit="1" customWidth="1" outlineLevel="1"/>
    <col min="20" max="20" width="4.6640625" bestFit="1" customWidth="1" outlineLevel="1"/>
    <col min="21" max="21" width="9" bestFit="1" customWidth="1" outlineLevel="1"/>
    <col min="22" max="22" width="11.1640625" bestFit="1" customWidth="1"/>
    <col min="23" max="23" width="12.1640625" bestFit="1" customWidth="1"/>
    <col min="24" max="24" width="11.1640625" bestFit="1" customWidth="1"/>
    <col min="25" max="25" width="7.1640625" bestFit="1" customWidth="1"/>
    <col min="26" max="26" width="6.83203125" bestFit="1" customWidth="1"/>
    <col min="27" max="27" width="7.5" bestFit="1" customWidth="1"/>
    <col min="28" max="28" width="69.1640625" hidden="1" customWidth="1" outlineLevel="1"/>
    <col min="29" max="29" width="9.1640625" collapsed="1"/>
  </cols>
  <sheetData>
    <row r="1" spans="1:28" x14ac:dyDescent="0.15">
      <c r="P1" s="84" t="s">
        <v>78</v>
      </c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</row>
    <row r="2" spans="1:28" x14ac:dyDescent="0.15">
      <c r="A2" s="73" t="s">
        <v>79</v>
      </c>
      <c r="B2" s="73" t="s">
        <v>80</v>
      </c>
      <c r="C2" s="73" t="s">
        <v>81</v>
      </c>
      <c r="D2" s="73" t="s">
        <v>82</v>
      </c>
      <c r="E2" s="73" t="s">
        <v>83</v>
      </c>
      <c r="F2" s="73" t="s">
        <v>84</v>
      </c>
      <c r="G2" s="72" t="s">
        <v>85</v>
      </c>
      <c r="H2" t="s">
        <v>86</v>
      </c>
      <c r="I2" s="73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s="72" t="s">
        <v>94</v>
      </c>
      <c r="Q2" t="s">
        <v>95</v>
      </c>
      <c r="R2" t="s">
        <v>96</v>
      </c>
      <c r="S2" t="s">
        <v>86</v>
      </c>
      <c r="T2" t="s">
        <v>87</v>
      </c>
      <c r="U2" t="s">
        <v>97</v>
      </c>
      <c r="V2" t="s">
        <v>98</v>
      </c>
      <c r="W2" t="s">
        <v>99</v>
      </c>
      <c r="X2" t="s">
        <v>92</v>
      </c>
      <c r="Y2" t="s">
        <v>100</v>
      </c>
      <c r="Z2" t="s">
        <v>101</v>
      </c>
      <c r="AA2" t="s">
        <v>102</v>
      </c>
      <c r="AB2" t="s">
        <v>103</v>
      </c>
    </row>
    <row r="3" spans="1:28" x14ac:dyDescent="0.15">
      <c r="B3" t="s">
        <v>104</v>
      </c>
      <c r="E3" t="str">
        <f>_xlfn.XLOOKUP(D3,'DEST TAGs'!$A$2:$A$5,'DEST TAGs'!$B$2:$B$5,"--",0)</f>
        <v>--</v>
      </c>
      <c r="G3" t="s">
        <v>105</v>
      </c>
      <c r="H3" s="70">
        <v>44931.559027777781</v>
      </c>
      <c r="I3" t="s">
        <v>106</v>
      </c>
      <c r="K3" t="s">
        <v>107</v>
      </c>
      <c r="L3" t="s">
        <v>108</v>
      </c>
      <c r="M3">
        <v>1500</v>
      </c>
      <c r="N3">
        <v>0</v>
      </c>
      <c r="P3" t="str">
        <f>_xlfn.XLOOKUP(G3,'Kraken Trades'!$A$2:$A$28,'Kraken Trades'!$A$2:$A$28,"--",0)</f>
        <v>--</v>
      </c>
      <c r="Q3" t="str">
        <f>_xlfn.XLOOKUP(G3,'Kraken Trades'!$A$2:$A$28,'Kraken Trades'!$B$2:$B$28,"--",0)</f>
        <v>--</v>
      </c>
      <c r="R3" t="str">
        <f>_xlfn.XLOOKUP(G3,'Kraken Trades'!$A$2:$A$28,'Kraken Trades'!$C$2:$C$28,"--",0)</f>
        <v>--</v>
      </c>
      <c r="S3" t="str">
        <f>_xlfn.XLOOKUP(G3,'Kraken Trades'!$A$2:$A$28,'Kraken Trades'!$D$2:$D$28,"--",0)</f>
        <v>--</v>
      </c>
      <c r="T3" t="str">
        <f>_xlfn.XLOOKUP(G3,'Kraken Trades'!$A$2:$A$28,'Kraken Trades'!$E$2:$E$28,"--",0)</f>
        <v>--</v>
      </c>
      <c r="U3" t="str">
        <f>_xlfn.XLOOKUP(G3,'Kraken Trades'!$A$2:$A$28,'Kraken Trades'!$F$2:$F$28,"--",0)</f>
        <v>--</v>
      </c>
      <c r="V3" t="str">
        <f>_xlfn.XLOOKUP(G3,'Kraken Trades'!$A$2:$A$28,'Kraken Trades'!$G$2:$G$28,"--",0)</f>
        <v>--</v>
      </c>
      <c r="W3" t="str">
        <f>_xlfn.XLOOKUP(G3,'Kraken Trades'!$A$2:$A$28,'Kraken Trades'!$H$2:$H$28,"--",0)</f>
        <v>--</v>
      </c>
      <c r="X3" t="str">
        <f>_xlfn.XLOOKUP(G3,'Kraken Trades'!$A$2:$A$28,'Kraken Trades'!$I$2:$I$28,"--",0)</f>
        <v>--</v>
      </c>
      <c r="Y3" t="str">
        <f>_xlfn.XLOOKUP(G3,'Kraken Trades'!$A$2:$A$28,'Kraken Trades'!$J$2:$J$28,"--",0)</f>
        <v>--</v>
      </c>
      <c r="Z3" t="str">
        <f>_xlfn.XLOOKUP(G3,'Kraken Trades'!$A$2:$A$28,'Kraken Trades'!$K$2:$K$28,"--",0)</f>
        <v>--</v>
      </c>
      <c r="AA3" t="str">
        <f>_xlfn.XLOOKUP(G3,'Kraken Trades'!$A$2:$A$28,'Kraken Trades'!$L$2:$L$28,"--",0)</f>
        <v>--</v>
      </c>
      <c r="AB3" t="str">
        <f>_xlfn.XLOOKUP(G3,'Kraken Trades'!$A$2:$A$28,'Kraken Trades'!$M$2:$M$28,"--",0)</f>
        <v>--</v>
      </c>
    </row>
    <row r="4" spans="1:28" x14ac:dyDescent="0.15">
      <c r="B4" t="s">
        <v>104</v>
      </c>
      <c r="E4" t="str">
        <f>_xlfn.XLOOKUP(D4,'DEST TAGs'!$A$2:$A$5,'DEST TAGs'!$B$2:$B$5,"--",0)</f>
        <v>--</v>
      </c>
      <c r="F4" t="s">
        <v>109</v>
      </c>
      <c r="G4" t="s">
        <v>105</v>
      </c>
      <c r="H4" s="70">
        <v>44931.567361111112</v>
      </c>
      <c r="I4" t="s">
        <v>106</v>
      </c>
      <c r="K4" t="s">
        <v>107</v>
      </c>
      <c r="L4" t="s">
        <v>108</v>
      </c>
      <c r="M4">
        <v>1500</v>
      </c>
      <c r="N4">
        <v>0</v>
      </c>
      <c r="O4">
        <v>1503.8148000000001</v>
      </c>
      <c r="P4" t="str">
        <f>_xlfn.XLOOKUP(G4,'Kraken Trades'!$A$2:$A$28,'Kraken Trades'!$A$2:$A$28,"--",0)</f>
        <v>--</v>
      </c>
      <c r="Q4" t="str">
        <f>_xlfn.XLOOKUP(G4,'Kraken Trades'!$A$2:$A$28,'Kraken Trades'!$B$2:$B$28,"--",0)</f>
        <v>--</v>
      </c>
      <c r="R4" t="str">
        <f>_xlfn.XLOOKUP(G4,'Kraken Trades'!$A$2:$A$28,'Kraken Trades'!$C$2:$C$28,"--",0)</f>
        <v>--</v>
      </c>
      <c r="S4" t="str">
        <f>_xlfn.XLOOKUP(G4,'Kraken Trades'!$A$2:$A$28,'Kraken Trades'!$D$2:$D$28,"--",0)</f>
        <v>--</v>
      </c>
      <c r="T4" t="str">
        <f>_xlfn.XLOOKUP(G4,'Kraken Trades'!$A$2:$A$28,'Kraken Trades'!$E$2:$E$28,"--",0)</f>
        <v>--</v>
      </c>
      <c r="U4" t="str">
        <f>_xlfn.XLOOKUP(G4,'Kraken Trades'!$A$2:$A$28,'Kraken Trades'!$F$2:$F$28,"--",0)</f>
        <v>--</v>
      </c>
      <c r="V4" t="str">
        <f>_xlfn.XLOOKUP(G4,'Kraken Trades'!$A$2:$A$28,'Kraken Trades'!$G$2:$G$28,"--",0)</f>
        <v>--</v>
      </c>
      <c r="W4" t="str">
        <f>_xlfn.XLOOKUP(G4,'Kraken Trades'!$A$2:$A$28,'Kraken Trades'!$H$2:$H$28,"--",0)</f>
        <v>--</v>
      </c>
      <c r="X4" t="str">
        <f>_xlfn.XLOOKUP(G4,'Kraken Trades'!$A$2:$A$28,'Kraken Trades'!$I$2:$I$28,"--",0)</f>
        <v>--</v>
      </c>
      <c r="Y4" t="str">
        <f>_xlfn.XLOOKUP(G4,'Kraken Trades'!$A$2:$A$28,'Kraken Trades'!$J$2:$J$28,"--",0)</f>
        <v>--</v>
      </c>
      <c r="Z4" t="str">
        <f>_xlfn.XLOOKUP(G4,'Kraken Trades'!$A$2:$A$28,'Kraken Trades'!$K$2:$K$28,"--",0)</f>
        <v>--</v>
      </c>
      <c r="AA4" t="str">
        <f>_xlfn.XLOOKUP(G4,'Kraken Trades'!$A$2:$A$28,'Kraken Trades'!$L$2:$L$28,"--",0)</f>
        <v>--</v>
      </c>
      <c r="AB4" t="str">
        <f>_xlfn.XLOOKUP(G4,'Kraken Trades'!$A$2:$A$28,'Kraken Trades'!$M$2:$M$28,"--",0)</f>
        <v>--</v>
      </c>
    </row>
    <row r="5" spans="1:28" x14ac:dyDescent="0.15">
      <c r="B5" t="s">
        <v>104</v>
      </c>
      <c r="E5" t="str">
        <f>_xlfn.XLOOKUP(D5,'DEST TAGs'!$A$2:$A$5,'DEST TAGs'!$B$2:$B$5,"--",0)</f>
        <v>--</v>
      </c>
      <c r="F5" t="s">
        <v>110</v>
      </c>
      <c r="G5" t="s">
        <v>111</v>
      </c>
      <c r="H5" s="70">
        <v>44931.568749999999</v>
      </c>
      <c r="I5" t="s">
        <v>112</v>
      </c>
      <c r="K5" t="s">
        <v>107</v>
      </c>
      <c r="L5" t="s">
        <v>108</v>
      </c>
      <c r="M5">
        <v>-1499.9997000000001</v>
      </c>
      <c r="N5">
        <v>0</v>
      </c>
      <c r="O5">
        <v>3.8151000000000002</v>
      </c>
      <c r="P5" t="str">
        <f>_xlfn.XLOOKUP(G5,'Kraken Trades'!$A$2:$A$28,'Kraken Trades'!$A$2:$A$28,"--",0)</f>
        <v>TVJHYS-EB5IK-4X5X33</v>
      </c>
      <c r="Q5" t="str">
        <f>_xlfn.XLOOKUP(G5,'Kraken Trades'!$A$2:$A$28,'Kraken Trades'!$B$2:$B$28,"--",0)</f>
        <v>OX3DXP-OFPAQ-NWPXZK</v>
      </c>
      <c r="R5" t="str">
        <f>_xlfn.XLOOKUP(G5,'Kraken Trades'!$A$2:$A$28,'Kraken Trades'!$C$2:$C$28,"--",0)</f>
        <v>XRPGBP</v>
      </c>
      <c r="S5">
        <f>_xlfn.XLOOKUP(G5,'Kraken Trades'!$A$2:$A$28,'Kraken Trades'!$D$2:$D$28,"--",0)</f>
        <v>2.754513888888889E-2</v>
      </c>
      <c r="T5" t="str">
        <f>_xlfn.XLOOKUP(G5,'Kraken Trades'!$A$2:$A$28,'Kraken Trades'!$E$2:$E$28,"--",0)</f>
        <v>buy</v>
      </c>
      <c r="U5" t="str">
        <f>_xlfn.XLOOKUP(G5,'Kraken Trades'!$A$2:$A$28,'Kraken Trades'!$F$2:$F$28,"--",0)</f>
        <v>market</v>
      </c>
      <c r="V5">
        <f>_xlfn.XLOOKUP(G5,'Kraken Trades'!$A$2:$A$28,'Kraken Trades'!$G$2:$G$28,"--",0)</f>
        <v>0.28462990999999999</v>
      </c>
      <c r="W5">
        <f>_xlfn.XLOOKUP(G5,'Kraken Trades'!$A$2:$A$28,'Kraken Trades'!$H$2:$H$28,"--",0)</f>
        <v>1499.999636</v>
      </c>
      <c r="X5">
        <f>_xlfn.XLOOKUP(G5,'Kraken Trades'!$A$2:$A$28,'Kraken Trades'!$I$2:$I$28,"--",0)</f>
        <v>3.8999990499999999</v>
      </c>
      <c r="Y5">
        <f>_xlfn.XLOOKUP(G5,'Kraken Trades'!$A$2:$A$28,'Kraken Trades'!$J$2:$J$28,"--",0)</f>
        <v>5270</v>
      </c>
      <c r="Z5">
        <f>_xlfn.XLOOKUP(G5,'Kraken Trades'!$A$2:$A$28,'Kraken Trades'!$K$2:$K$28,"--",0)</f>
        <v>0</v>
      </c>
      <c r="AA5" t="str">
        <f>_xlfn.XLOOKUP(G5,'Kraken Trades'!$A$2:$A$28,'Kraken Trades'!$L$2:$L$28,"--",0)</f>
        <v>initiated</v>
      </c>
      <c r="AB5" t="str">
        <f>_xlfn.XLOOKUP(G5,'Kraken Trades'!$A$2:$A$28,'Kraken Trades'!$M$2:$M$28,"--",0)</f>
        <v>LJHWVK-UM23A-Z4NP7D,LS3HC5-BWXDY-DROKXS,LOC5M4-VGITG-62OW6U</v>
      </c>
    </row>
    <row r="6" spans="1:28" x14ac:dyDescent="0.15">
      <c r="B6" t="s">
        <v>104</v>
      </c>
      <c r="E6" t="str">
        <f>_xlfn.XLOOKUP(D6,'DEST TAGs'!$A$2:$A$5,'DEST TAGs'!$B$2:$B$5,"--",0)</f>
        <v>--</v>
      </c>
      <c r="F6" t="s">
        <v>113</v>
      </c>
      <c r="G6" t="s">
        <v>111</v>
      </c>
      <c r="H6" s="70">
        <v>44931.568749999999</v>
      </c>
      <c r="I6" t="s">
        <v>112</v>
      </c>
      <c r="K6" t="s">
        <v>107</v>
      </c>
      <c r="L6" t="s">
        <v>114</v>
      </c>
      <c r="M6">
        <v>5270</v>
      </c>
      <c r="N6">
        <v>0</v>
      </c>
      <c r="O6">
        <v>5271.0094429999999</v>
      </c>
      <c r="P6" t="str">
        <f>_xlfn.XLOOKUP(G6,'Kraken Trades'!$A$2:$A$28,'Kraken Trades'!$A$2:$A$28,"--",0)</f>
        <v>TVJHYS-EB5IK-4X5X33</v>
      </c>
      <c r="Q6" t="str">
        <f>_xlfn.XLOOKUP(G6,'Kraken Trades'!$A$2:$A$28,'Kraken Trades'!$B$2:$B$28,"--",0)</f>
        <v>OX3DXP-OFPAQ-NWPXZK</v>
      </c>
      <c r="R6" t="str">
        <f>_xlfn.XLOOKUP(G6,'Kraken Trades'!$A$2:$A$28,'Kraken Trades'!$C$2:$C$28,"--",0)</f>
        <v>XRPGBP</v>
      </c>
      <c r="S6">
        <f>_xlfn.XLOOKUP(G6,'Kraken Trades'!$A$2:$A$28,'Kraken Trades'!$D$2:$D$28,"--",0)</f>
        <v>2.754513888888889E-2</v>
      </c>
      <c r="T6" t="str">
        <f>_xlfn.XLOOKUP(G6,'Kraken Trades'!$A$2:$A$28,'Kraken Trades'!$E$2:$E$28,"--",0)</f>
        <v>buy</v>
      </c>
      <c r="U6" t="str">
        <f>_xlfn.XLOOKUP(G6,'Kraken Trades'!$A$2:$A$28,'Kraken Trades'!$F$2:$F$28,"--",0)</f>
        <v>market</v>
      </c>
      <c r="V6">
        <f>_xlfn.XLOOKUP(G6,'Kraken Trades'!$A$2:$A$28,'Kraken Trades'!$G$2:$G$28,"--",0)</f>
        <v>0.28462990999999999</v>
      </c>
      <c r="W6">
        <f>_xlfn.XLOOKUP(G6,'Kraken Trades'!$A$2:$A$28,'Kraken Trades'!$H$2:$H$28,"--",0)</f>
        <v>1499.999636</v>
      </c>
      <c r="X6">
        <f>_xlfn.XLOOKUP(G6,'Kraken Trades'!$A$2:$A$28,'Kraken Trades'!$I$2:$I$28,"--",0)</f>
        <v>3.8999990499999999</v>
      </c>
      <c r="Y6">
        <f>_xlfn.XLOOKUP(G6,'Kraken Trades'!$A$2:$A$28,'Kraken Trades'!$J$2:$J$28,"--",0)</f>
        <v>5270</v>
      </c>
      <c r="Z6">
        <f>_xlfn.XLOOKUP(G6,'Kraken Trades'!$A$2:$A$28,'Kraken Trades'!$K$2:$K$28,"--",0)</f>
        <v>0</v>
      </c>
      <c r="AA6" t="str">
        <f>_xlfn.XLOOKUP(G6,'Kraken Trades'!$A$2:$A$28,'Kraken Trades'!$L$2:$L$28,"--",0)</f>
        <v>initiated</v>
      </c>
      <c r="AB6" t="str">
        <f>_xlfn.XLOOKUP(G6,'Kraken Trades'!$A$2:$A$28,'Kraken Trades'!$M$2:$M$28,"--",0)</f>
        <v>LJHWVK-UM23A-Z4NP7D,LS3HC5-BWXDY-DROKXS,LOC5M4-VGITG-62OW6U</v>
      </c>
    </row>
    <row r="7" spans="1:28" x14ac:dyDescent="0.15">
      <c r="B7" t="s">
        <v>104</v>
      </c>
      <c r="E7" t="str">
        <f>_xlfn.XLOOKUP(D7,'DEST TAGs'!$A$2:$A$5,'DEST TAGs'!$B$2:$B$5,"--",0)</f>
        <v>--</v>
      </c>
      <c r="F7" t="s">
        <v>115</v>
      </c>
      <c r="G7" t="s">
        <v>111</v>
      </c>
      <c r="H7" s="70">
        <v>44931.568749999999</v>
      </c>
      <c r="I7" t="s">
        <v>112</v>
      </c>
      <c r="K7" t="s">
        <v>107</v>
      </c>
      <c r="L7" t="s">
        <v>116</v>
      </c>
      <c r="M7">
        <v>0</v>
      </c>
      <c r="N7">
        <v>466.73</v>
      </c>
      <c r="O7">
        <v>7910.27</v>
      </c>
      <c r="P7" t="str">
        <f>_xlfn.XLOOKUP(G7,'Kraken Trades'!$A$2:$A$28,'Kraken Trades'!$A$2:$A$28,"--",0)</f>
        <v>TVJHYS-EB5IK-4X5X33</v>
      </c>
      <c r="Q7" t="str">
        <f>_xlfn.XLOOKUP(G7,'Kraken Trades'!$A$2:$A$28,'Kraken Trades'!$B$2:$B$28,"--",0)</f>
        <v>OX3DXP-OFPAQ-NWPXZK</v>
      </c>
      <c r="R7" t="str">
        <f>_xlfn.XLOOKUP(G7,'Kraken Trades'!$A$2:$A$28,'Kraken Trades'!$C$2:$C$28,"--",0)</f>
        <v>XRPGBP</v>
      </c>
      <c r="S7">
        <f>_xlfn.XLOOKUP(G7,'Kraken Trades'!$A$2:$A$28,'Kraken Trades'!$D$2:$D$28,"--",0)</f>
        <v>2.754513888888889E-2</v>
      </c>
      <c r="T7" t="str">
        <f>_xlfn.XLOOKUP(G7,'Kraken Trades'!$A$2:$A$28,'Kraken Trades'!$E$2:$E$28,"--",0)</f>
        <v>buy</v>
      </c>
      <c r="U7" t="str">
        <f>_xlfn.XLOOKUP(G7,'Kraken Trades'!$A$2:$A$28,'Kraken Trades'!$F$2:$F$28,"--",0)</f>
        <v>market</v>
      </c>
      <c r="V7">
        <f>_xlfn.XLOOKUP(G7,'Kraken Trades'!$A$2:$A$28,'Kraken Trades'!$G$2:$G$28,"--",0)</f>
        <v>0.28462990999999999</v>
      </c>
      <c r="W7">
        <f>_xlfn.XLOOKUP(G7,'Kraken Trades'!$A$2:$A$28,'Kraken Trades'!$H$2:$H$28,"--",0)</f>
        <v>1499.999636</v>
      </c>
      <c r="X7">
        <f>_xlfn.XLOOKUP(G7,'Kraken Trades'!$A$2:$A$28,'Kraken Trades'!$I$2:$I$28,"--",0)</f>
        <v>3.8999990499999999</v>
      </c>
      <c r="Y7">
        <f>_xlfn.XLOOKUP(G7,'Kraken Trades'!$A$2:$A$28,'Kraken Trades'!$J$2:$J$28,"--",0)</f>
        <v>5270</v>
      </c>
      <c r="Z7">
        <f>_xlfn.XLOOKUP(G7,'Kraken Trades'!$A$2:$A$28,'Kraken Trades'!$K$2:$K$28,"--",0)</f>
        <v>0</v>
      </c>
      <c r="AA7" t="str">
        <f>_xlfn.XLOOKUP(G7,'Kraken Trades'!$A$2:$A$28,'Kraken Trades'!$L$2:$L$28,"--",0)</f>
        <v>initiated</v>
      </c>
      <c r="AB7" t="str">
        <f>_xlfn.XLOOKUP(G7,'Kraken Trades'!$A$2:$A$28,'Kraken Trades'!$M$2:$M$28,"--",0)</f>
        <v>LJHWVK-UM23A-Z4NP7D,LS3HC5-BWXDY-DROKXS,LOC5M4-VGITG-62OW6U</v>
      </c>
    </row>
    <row r="8" spans="1:28" x14ac:dyDescent="0.15">
      <c r="B8" t="s">
        <v>104</v>
      </c>
      <c r="E8" t="str">
        <f>_xlfn.XLOOKUP(D8,'DEST TAGs'!$A$2:$A$5,'DEST TAGs'!$B$2:$B$5,"--",0)</f>
        <v>--</v>
      </c>
      <c r="G8" t="s">
        <v>117</v>
      </c>
      <c r="H8" s="70">
        <v>44931.57916666667</v>
      </c>
      <c r="I8" t="s">
        <v>118</v>
      </c>
      <c r="K8" t="s">
        <v>107</v>
      </c>
      <c r="L8" t="s">
        <v>114</v>
      </c>
      <c r="M8">
        <v>-4130</v>
      </c>
      <c r="N8">
        <v>0.02</v>
      </c>
      <c r="P8" t="str">
        <f>_xlfn.XLOOKUP(G8,'Kraken Trades'!$A$2:$A$28,'Kraken Trades'!$A$2:$A$28,"--",0)</f>
        <v>--</v>
      </c>
      <c r="Q8" t="str">
        <f>_xlfn.XLOOKUP(G8,'Kraken Trades'!$A$2:$A$28,'Kraken Trades'!$B$2:$B$28,"--",0)</f>
        <v>--</v>
      </c>
      <c r="R8" t="str">
        <f>_xlfn.XLOOKUP(G8,'Kraken Trades'!$A$2:$A$28,'Kraken Trades'!$C$2:$C$28,"--",0)</f>
        <v>--</v>
      </c>
      <c r="S8" t="str">
        <f>_xlfn.XLOOKUP(G8,'Kraken Trades'!$A$2:$A$28,'Kraken Trades'!$D$2:$D$28,"--",0)</f>
        <v>--</v>
      </c>
      <c r="T8" t="str">
        <f>_xlfn.XLOOKUP(G8,'Kraken Trades'!$A$2:$A$28,'Kraken Trades'!$E$2:$E$28,"--",0)</f>
        <v>--</v>
      </c>
      <c r="U8" t="str">
        <f>_xlfn.XLOOKUP(G8,'Kraken Trades'!$A$2:$A$28,'Kraken Trades'!$F$2:$F$28,"--",0)</f>
        <v>--</v>
      </c>
      <c r="V8" t="str">
        <f>_xlfn.XLOOKUP(G8,'Kraken Trades'!$A$2:$A$28,'Kraken Trades'!$G$2:$G$28,"--",0)</f>
        <v>--</v>
      </c>
      <c r="W8" t="str">
        <f>_xlfn.XLOOKUP(G8,'Kraken Trades'!$A$2:$A$28,'Kraken Trades'!$H$2:$H$28,"--",0)</f>
        <v>--</v>
      </c>
      <c r="X8" t="str">
        <f>_xlfn.XLOOKUP(G8,'Kraken Trades'!$A$2:$A$28,'Kraken Trades'!$I$2:$I$28,"--",0)</f>
        <v>--</v>
      </c>
      <c r="Y8" t="str">
        <f>_xlfn.XLOOKUP(G8,'Kraken Trades'!$A$2:$A$28,'Kraken Trades'!$J$2:$J$28,"--",0)</f>
        <v>--</v>
      </c>
      <c r="Z8" t="str">
        <f>_xlfn.XLOOKUP(G8,'Kraken Trades'!$A$2:$A$28,'Kraken Trades'!$K$2:$K$28,"--",0)</f>
        <v>--</v>
      </c>
      <c r="AA8" t="str">
        <f>_xlfn.XLOOKUP(G8,'Kraken Trades'!$A$2:$A$28,'Kraken Trades'!$L$2:$L$28,"--",0)</f>
        <v>--</v>
      </c>
      <c r="AB8" t="str">
        <f>_xlfn.XLOOKUP(G8,'Kraken Trades'!$A$2:$A$28,'Kraken Trades'!$M$2:$M$28,"--",0)</f>
        <v>--</v>
      </c>
    </row>
    <row r="9" spans="1:28" x14ac:dyDescent="0.15">
      <c r="B9" t="s">
        <v>104</v>
      </c>
      <c r="E9" t="str">
        <f>_xlfn.XLOOKUP(D9,'DEST TAGs'!$A$2:$A$5,'DEST TAGs'!$B$2:$B$5,"--",0)</f>
        <v>--</v>
      </c>
      <c r="F9" t="s">
        <v>119</v>
      </c>
      <c r="G9" t="s">
        <v>117</v>
      </c>
      <c r="H9" s="70">
        <v>44931.579861111109</v>
      </c>
      <c r="I9" t="s">
        <v>118</v>
      </c>
      <c r="K9" t="s">
        <v>107</v>
      </c>
      <c r="L9" t="s">
        <v>114</v>
      </c>
      <c r="M9">
        <v>-4130</v>
      </c>
      <c r="N9">
        <v>0.02</v>
      </c>
      <c r="O9">
        <v>1140.9894429999999</v>
      </c>
      <c r="P9" t="str">
        <f>_xlfn.XLOOKUP(G9,'Kraken Trades'!$A$2:$A$28,'Kraken Trades'!$A$2:$A$28,"--",0)</f>
        <v>--</v>
      </c>
      <c r="Q9" t="str">
        <f>_xlfn.XLOOKUP(G9,'Kraken Trades'!$A$2:$A$28,'Kraken Trades'!$B$2:$B$28,"--",0)</f>
        <v>--</v>
      </c>
      <c r="R9" t="str">
        <f>_xlfn.XLOOKUP(G9,'Kraken Trades'!$A$2:$A$28,'Kraken Trades'!$C$2:$C$28,"--",0)</f>
        <v>--</v>
      </c>
      <c r="S9" t="str">
        <f>_xlfn.XLOOKUP(G9,'Kraken Trades'!$A$2:$A$28,'Kraken Trades'!$D$2:$D$28,"--",0)</f>
        <v>--</v>
      </c>
      <c r="T9" t="str">
        <f>_xlfn.XLOOKUP(G9,'Kraken Trades'!$A$2:$A$28,'Kraken Trades'!$E$2:$E$28,"--",0)</f>
        <v>--</v>
      </c>
      <c r="U9" t="str">
        <f>_xlfn.XLOOKUP(G9,'Kraken Trades'!$A$2:$A$28,'Kraken Trades'!$F$2:$F$28,"--",0)</f>
        <v>--</v>
      </c>
      <c r="V9" t="str">
        <f>_xlfn.XLOOKUP(G9,'Kraken Trades'!$A$2:$A$28,'Kraken Trades'!$G$2:$G$28,"--",0)</f>
        <v>--</v>
      </c>
      <c r="W9" t="str">
        <f>_xlfn.XLOOKUP(G9,'Kraken Trades'!$A$2:$A$28,'Kraken Trades'!$H$2:$H$28,"--",0)</f>
        <v>--</v>
      </c>
      <c r="X9" t="str">
        <f>_xlfn.XLOOKUP(G9,'Kraken Trades'!$A$2:$A$28,'Kraken Trades'!$I$2:$I$28,"--",0)</f>
        <v>--</v>
      </c>
      <c r="Y9" t="str">
        <f>_xlfn.XLOOKUP(G9,'Kraken Trades'!$A$2:$A$28,'Kraken Trades'!$J$2:$J$28,"--",0)</f>
        <v>--</v>
      </c>
      <c r="Z9" t="str">
        <f>_xlfn.XLOOKUP(G9,'Kraken Trades'!$A$2:$A$28,'Kraken Trades'!$K$2:$K$28,"--",0)</f>
        <v>--</v>
      </c>
      <c r="AA9" t="str">
        <f>_xlfn.XLOOKUP(G9,'Kraken Trades'!$A$2:$A$28,'Kraken Trades'!$L$2:$L$28,"--",0)</f>
        <v>--</v>
      </c>
      <c r="AB9" t="str">
        <f>_xlfn.XLOOKUP(G9,'Kraken Trades'!$A$2:$A$28,'Kraken Trades'!$M$2:$M$28,"--",0)</f>
        <v>--</v>
      </c>
    </row>
    <row r="10" spans="1:28" x14ac:dyDescent="0.15">
      <c r="B10" t="s">
        <v>104</v>
      </c>
      <c r="E10" t="str">
        <f>_xlfn.XLOOKUP(D10,'DEST TAGs'!$A$2:$A$5,'DEST TAGs'!$B$2:$B$5,"--",0)</f>
        <v>--</v>
      </c>
      <c r="G10" t="s">
        <v>120</v>
      </c>
      <c r="H10" s="70">
        <v>44931.580555555556</v>
      </c>
      <c r="I10" t="s">
        <v>118</v>
      </c>
      <c r="K10" t="s">
        <v>107</v>
      </c>
      <c r="L10" t="s">
        <v>114</v>
      </c>
      <c r="M10">
        <v>-1140</v>
      </c>
      <c r="N10">
        <v>0.02</v>
      </c>
      <c r="P10" t="str">
        <f>_xlfn.XLOOKUP(G10,'Kraken Trades'!$A$2:$A$28,'Kraken Trades'!$A$2:$A$28,"--",0)</f>
        <v>--</v>
      </c>
      <c r="Q10" t="str">
        <f>_xlfn.XLOOKUP(G10,'Kraken Trades'!$A$2:$A$28,'Kraken Trades'!$B$2:$B$28,"--",0)</f>
        <v>--</v>
      </c>
      <c r="R10" t="str">
        <f>_xlfn.XLOOKUP(G10,'Kraken Trades'!$A$2:$A$28,'Kraken Trades'!$C$2:$C$28,"--",0)</f>
        <v>--</v>
      </c>
      <c r="S10" t="str">
        <f>_xlfn.XLOOKUP(G10,'Kraken Trades'!$A$2:$A$28,'Kraken Trades'!$D$2:$D$28,"--",0)</f>
        <v>--</v>
      </c>
      <c r="T10" t="str">
        <f>_xlfn.XLOOKUP(G10,'Kraken Trades'!$A$2:$A$28,'Kraken Trades'!$E$2:$E$28,"--",0)</f>
        <v>--</v>
      </c>
      <c r="U10" t="str">
        <f>_xlfn.XLOOKUP(G10,'Kraken Trades'!$A$2:$A$28,'Kraken Trades'!$F$2:$F$28,"--",0)</f>
        <v>--</v>
      </c>
      <c r="V10" t="str">
        <f>_xlfn.XLOOKUP(G10,'Kraken Trades'!$A$2:$A$28,'Kraken Trades'!$G$2:$G$28,"--",0)</f>
        <v>--</v>
      </c>
      <c r="W10" t="str">
        <f>_xlfn.XLOOKUP(G10,'Kraken Trades'!$A$2:$A$28,'Kraken Trades'!$H$2:$H$28,"--",0)</f>
        <v>--</v>
      </c>
      <c r="X10" t="str">
        <f>_xlfn.XLOOKUP(G10,'Kraken Trades'!$A$2:$A$28,'Kraken Trades'!$I$2:$I$28,"--",0)</f>
        <v>--</v>
      </c>
      <c r="Y10" t="str">
        <f>_xlfn.XLOOKUP(G10,'Kraken Trades'!$A$2:$A$28,'Kraken Trades'!$J$2:$J$28,"--",0)</f>
        <v>--</v>
      </c>
      <c r="Z10" t="str">
        <f>_xlfn.XLOOKUP(G10,'Kraken Trades'!$A$2:$A$28,'Kraken Trades'!$K$2:$K$28,"--",0)</f>
        <v>--</v>
      </c>
      <c r="AA10" t="str">
        <f>_xlfn.XLOOKUP(G10,'Kraken Trades'!$A$2:$A$28,'Kraken Trades'!$L$2:$L$28,"--",0)</f>
        <v>--</v>
      </c>
      <c r="AB10" t="str">
        <f>_xlfn.XLOOKUP(G10,'Kraken Trades'!$A$2:$A$28,'Kraken Trades'!$M$2:$M$28,"--",0)</f>
        <v>--</v>
      </c>
    </row>
    <row r="11" spans="1:28" x14ac:dyDescent="0.15">
      <c r="B11" t="s">
        <v>104</v>
      </c>
      <c r="E11" t="str">
        <f>_xlfn.XLOOKUP(D11,'DEST TAGs'!$A$2:$A$5,'DEST TAGs'!$B$2:$B$5,"--",0)</f>
        <v>--</v>
      </c>
      <c r="F11" t="s">
        <v>121</v>
      </c>
      <c r="G11" t="s">
        <v>120</v>
      </c>
      <c r="H11" s="70">
        <v>44931.581944444442</v>
      </c>
      <c r="I11" t="s">
        <v>118</v>
      </c>
      <c r="K11" t="s">
        <v>107</v>
      </c>
      <c r="L11" t="s">
        <v>114</v>
      </c>
      <c r="M11">
        <v>-1140</v>
      </c>
      <c r="N11">
        <v>0.02</v>
      </c>
      <c r="O11">
        <v>0.96944333999999999</v>
      </c>
      <c r="P11" t="str">
        <f>_xlfn.XLOOKUP(G11,'Kraken Trades'!$A$2:$A$28,'Kraken Trades'!$A$2:$A$28,"--",0)</f>
        <v>--</v>
      </c>
      <c r="Q11" t="str">
        <f>_xlfn.XLOOKUP(G11,'Kraken Trades'!$A$2:$A$28,'Kraken Trades'!$B$2:$B$28,"--",0)</f>
        <v>--</v>
      </c>
      <c r="R11" t="str">
        <f>_xlfn.XLOOKUP(G11,'Kraken Trades'!$A$2:$A$28,'Kraken Trades'!$C$2:$C$28,"--",0)</f>
        <v>--</v>
      </c>
      <c r="S11" t="str">
        <f>_xlfn.XLOOKUP(G11,'Kraken Trades'!$A$2:$A$28,'Kraken Trades'!$D$2:$D$28,"--",0)</f>
        <v>--</v>
      </c>
      <c r="T11" t="str">
        <f>_xlfn.XLOOKUP(G11,'Kraken Trades'!$A$2:$A$28,'Kraken Trades'!$E$2:$E$28,"--",0)</f>
        <v>--</v>
      </c>
      <c r="U11" t="str">
        <f>_xlfn.XLOOKUP(G11,'Kraken Trades'!$A$2:$A$28,'Kraken Trades'!$F$2:$F$28,"--",0)</f>
        <v>--</v>
      </c>
      <c r="V11" t="str">
        <f>_xlfn.XLOOKUP(G11,'Kraken Trades'!$A$2:$A$28,'Kraken Trades'!$G$2:$G$28,"--",0)</f>
        <v>--</v>
      </c>
      <c r="W11" t="str">
        <f>_xlfn.XLOOKUP(G11,'Kraken Trades'!$A$2:$A$28,'Kraken Trades'!$H$2:$H$28,"--",0)</f>
        <v>--</v>
      </c>
      <c r="X11" t="str">
        <f>_xlfn.XLOOKUP(G11,'Kraken Trades'!$A$2:$A$28,'Kraken Trades'!$I$2:$I$28,"--",0)</f>
        <v>--</v>
      </c>
      <c r="Y11" t="str">
        <f>_xlfn.XLOOKUP(G11,'Kraken Trades'!$A$2:$A$28,'Kraken Trades'!$J$2:$J$28,"--",0)</f>
        <v>--</v>
      </c>
      <c r="Z11" t="str">
        <f>_xlfn.XLOOKUP(G11,'Kraken Trades'!$A$2:$A$28,'Kraken Trades'!$K$2:$K$28,"--",0)</f>
        <v>--</v>
      </c>
      <c r="AA11" t="str">
        <f>_xlfn.XLOOKUP(G11,'Kraken Trades'!$A$2:$A$28,'Kraken Trades'!$L$2:$L$28,"--",0)</f>
        <v>--</v>
      </c>
      <c r="AB11" t="str">
        <f>_xlfn.XLOOKUP(G11,'Kraken Trades'!$A$2:$A$28,'Kraken Trades'!$M$2:$M$28,"--",0)</f>
        <v>--</v>
      </c>
    </row>
    <row r="12" spans="1:28" x14ac:dyDescent="0.15">
      <c r="B12" t="s">
        <v>104</v>
      </c>
      <c r="E12" t="str">
        <f>_xlfn.XLOOKUP(D12,'DEST TAGs'!$A$2:$A$5,'DEST TAGs'!$B$2:$B$5,"--",0)</f>
        <v>--</v>
      </c>
      <c r="G12" t="s">
        <v>122</v>
      </c>
      <c r="H12" s="70">
        <v>44940.396527777775</v>
      </c>
      <c r="I12" t="s">
        <v>106</v>
      </c>
      <c r="K12" t="s">
        <v>107</v>
      </c>
      <c r="L12" t="s">
        <v>108</v>
      </c>
      <c r="M12">
        <v>300</v>
      </c>
      <c r="N12">
        <v>0</v>
      </c>
      <c r="P12" t="str">
        <f>_xlfn.XLOOKUP(G12,'Kraken Trades'!$A$2:$A$28,'Kraken Trades'!$A$2:$A$28,"--",0)</f>
        <v>--</v>
      </c>
      <c r="Q12" t="str">
        <f>_xlfn.XLOOKUP(G12,'Kraken Trades'!$A$2:$A$28,'Kraken Trades'!$B$2:$B$28,"--",0)</f>
        <v>--</v>
      </c>
      <c r="R12" t="str">
        <f>_xlfn.XLOOKUP(G12,'Kraken Trades'!$A$2:$A$28,'Kraken Trades'!$C$2:$C$28,"--",0)</f>
        <v>--</v>
      </c>
      <c r="S12" t="str">
        <f>_xlfn.XLOOKUP(G12,'Kraken Trades'!$A$2:$A$28,'Kraken Trades'!$D$2:$D$28,"--",0)</f>
        <v>--</v>
      </c>
      <c r="T12" t="str">
        <f>_xlfn.XLOOKUP(G12,'Kraken Trades'!$A$2:$A$28,'Kraken Trades'!$E$2:$E$28,"--",0)</f>
        <v>--</v>
      </c>
      <c r="U12" t="str">
        <f>_xlfn.XLOOKUP(G12,'Kraken Trades'!$A$2:$A$28,'Kraken Trades'!$F$2:$F$28,"--",0)</f>
        <v>--</v>
      </c>
      <c r="V12" t="str">
        <f>_xlfn.XLOOKUP(G12,'Kraken Trades'!$A$2:$A$28,'Kraken Trades'!$G$2:$G$28,"--",0)</f>
        <v>--</v>
      </c>
      <c r="W12" t="str">
        <f>_xlfn.XLOOKUP(G12,'Kraken Trades'!$A$2:$A$28,'Kraken Trades'!$H$2:$H$28,"--",0)</f>
        <v>--</v>
      </c>
      <c r="X12" t="str">
        <f>_xlfn.XLOOKUP(G12,'Kraken Trades'!$A$2:$A$28,'Kraken Trades'!$I$2:$I$28,"--",0)</f>
        <v>--</v>
      </c>
      <c r="Y12" t="str">
        <f>_xlfn.XLOOKUP(G12,'Kraken Trades'!$A$2:$A$28,'Kraken Trades'!$J$2:$J$28,"--",0)</f>
        <v>--</v>
      </c>
      <c r="Z12" t="str">
        <f>_xlfn.XLOOKUP(G12,'Kraken Trades'!$A$2:$A$28,'Kraken Trades'!$K$2:$K$28,"--",0)</f>
        <v>--</v>
      </c>
      <c r="AA12" t="str">
        <f>_xlfn.XLOOKUP(G12,'Kraken Trades'!$A$2:$A$28,'Kraken Trades'!$L$2:$L$28,"--",0)</f>
        <v>--</v>
      </c>
      <c r="AB12" t="str">
        <f>_xlfn.XLOOKUP(G12,'Kraken Trades'!$A$2:$A$28,'Kraken Trades'!$M$2:$M$28,"--",0)</f>
        <v>--</v>
      </c>
    </row>
    <row r="13" spans="1:28" x14ac:dyDescent="0.15">
      <c r="B13" t="s">
        <v>104</v>
      </c>
      <c r="E13" t="str">
        <f>_xlfn.XLOOKUP(D13,'DEST TAGs'!$A$2:$A$5,'DEST TAGs'!$B$2:$B$5,"--",0)</f>
        <v>--</v>
      </c>
      <c r="F13" t="s">
        <v>123</v>
      </c>
      <c r="G13" t="s">
        <v>122</v>
      </c>
      <c r="H13" s="70">
        <v>44940.414583333331</v>
      </c>
      <c r="I13" t="s">
        <v>106</v>
      </c>
      <c r="K13" t="s">
        <v>107</v>
      </c>
      <c r="L13" t="s">
        <v>108</v>
      </c>
      <c r="M13">
        <v>300</v>
      </c>
      <c r="N13">
        <v>0</v>
      </c>
      <c r="O13">
        <v>303.81509999999997</v>
      </c>
      <c r="P13" t="str">
        <f>_xlfn.XLOOKUP(G13,'Kraken Trades'!$A$2:$A$28,'Kraken Trades'!$A$2:$A$28,"--",0)</f>
        <v>--</v>
      </c>
      <c r="Q13" t="str">
        <f>_xlfn.XLOOKUP(G13,'Kraken Trades'!$A$2:$A$28,'Kraken Trades'!$B$2:$B$28,"--",0)</f>
        <v>--</v>
      </c>
      <c r="R13" t="str">
        <f>_xlfn.XLOOKUP(G13,'Kraken Trades'!$A$2:$A$28,'Kraken Trades'!$C$2:$C$28,"--",0)</f>
        <v>--</v>
      </c>
      <c r="S13" t="str">
        <f>_xlfn.XLOOKUP(G13,'Kraken Trades'!$A$2:$A$28,'Kraken Trades'!$D$2:$D$28,"--",0)</f>
        <v>--</v>
      </c>
      <c r="T13" t="str">
        <f>_xlfn.XLOOKUP(G13,'Kraken Trades'!$A$2:$A$28,'Kraken Trades'!$E$2:$E$28,"--",0)</f>
        <v>--</v>
      </c>
      <c r="U13" t="str">
        <f>_xlfn.XLOOKUP(G13,'Kraken Trades'!$A$2:$A$28,'Kraken Trades'!$F$2:$F$28,"--",0)</f>
        <v>--</v>
      </c>
      <c r="V13" t="str">
        <f>_xlfn.XLOOKUP(G13,'Kraken Trades'!$A$2:$A$28,'Kraken Trades'!$G$2:$G$28,"--",0)</f>
        <v>--</v>
      </c>
      <c r="W13" t="str">
        <f>_xlfn.XLOOKUP(G13,'Kraken Trades'!$A$2:$A$28,'Kraken Trades'!$H$2:$H$28,"--",0)</f>
        <v>--</v>
      </c>
      <c r="X13" t="str">
        <f>_xlfn.XLOOKUP(G13,'Kraken Trades'!$A$2:$A$28,'Kraken Trades'!$I$2:$I$28,"--",0)</f>
        <v>--</v>
      </c>
      <c r="Y13" t="str">
        <f>_xlfn.XLOOKUP(G13,'Kraken Trades'!$A$2:$A$28,'Kraken Trades'!$J$2:$J$28,"--",0)</f>
        <v>--</v>
      </c>
      <c r="Z13" t="str">
        <f>_xlfn.XLOOKUP(G13,'Kraken Trades'!$A$2:$A$28,'Kraken Trades'!$K$2:$K$28,"--",0)</f>
        <v>--</v>
      </c>
      <c r="AA13" t="str">
        <f>_xlfn.XLOOKUP(G13,'Kraken Trades'!$A$2:$A$28,'Kraken Trades'!$L$2:$L$28,"--",0)</f>
        <v>--</v>
      </c>
      <c r="AB13" t="str">
        <f>_xlfn.XLOOKUP(G13,'Kraken Trades'!$A$2:$A$28,'Kraken Trades'!$M$2:$M$28,"--",0)</f>
        <v>--</v>
      </c>
    </row>
    <row r="14" spans="1:28" x14ac:dyDescent="0.15">
      <c r="B14" t="s">
        <v>104</v>
      </c>
      <c r="E14" t="str">
        <f>_xlfn.XLOOKUP(D14,'DEST TAGs'!$A$2:$A$5,'DEST TAGs'!$B$2:$B$5,"--",0)</f>
        <v>--</v>
      </c>
      <c r="F14" t="s">
        <v>124</v>
      </c>
      <c r="G14" t="s">
        <v>125</v>
      </c>
      <c r="H14" s="70">
        <v>44940.425694444442</v>
      </c>
      <c r="I14" t="s">
        <v>112</v>
      </c>
      <c r="K14" t="s">
        <v>107</v>
      </c>
      <c r="L14" t="s">
        <v>108</v>
      </c>
      <c r="M14">
        <v>-302.10539999999997</v>
      </c>
      <c r="N14">
        <v>0</v>
      </c>
      <c r="O14">
        <v>1.7097</v>
      </c>
      <c r="P14" t="str">
        <f>_xlfn.XLOOKUP(G14,'Kraken Trades'!$A$2:$A$28,'Kraken Trades'!$A$2:$A$28,"--",0)</f>
        <v>TONPXD-KPDZU-5WAK7C</v>
      </c>
      <c r="Q14" t="str">
        <f>_xlfn.XLOOKUP(G14,'Kraken Trades'!$A$2:$A$28,'Kraken Trades'!$B$2:$B$28,"--",0)</f>
        <v>OA5AQQ-YBGEA-2YGS2M</v>
      </c>
      <c r="R14" t="str">
        <f>_xlfn.XLOOKUP(G14,'Kraken Trades'!$A$2:$A$28,'Kraken Trades'!$C$2:$C$28,"--",0)</f>
        <v>XRPGBP</v>
      </c>
      <c r="S14">
        <f>_xlfn.XLOOKUP(G14,'Kraken Trades'!$A$2:$A$28,'Kraken Trades'!$D$2:$D$28,"--",0)</f>
        <v>9.6805555555555551E-3</v>
      </c>
      <c r="T14" t="str">
        <f>_xlfn.XLOOKUP(G14,'Kraken Trades'!$A$2:$A$28,'Kraken Trades'!$E$2:$E$28,"--",0)</f>
        <v>buy</v>
      </c>
      <c r="U14" t="str">
        <f>_xlfn.XLOOKUP(G14,'Kraken Trades'!$A$2:$A$28,'Kraken Trades'!$F$2:$F$28,"--",0)</f>
        <v>market</v>
      </c>
      <c r="V14">
        <f>_xlfn.XLOOKUP(G14,'Kraken Trades'!$A$2:$A$28,'Kraken Trades'!$G$2:$G$28,"--",0)</f>
        <v>0.31800561999999999</v>
      </c>
      <c r="W14">
        <f>_xlfn.XLOOKUP(G14,'Kraken Trades'!$A$2:$A$28,'Kraken Trades'!$H$2:$H$28,"--",0)</f>
        <v>302.10534269999999</v>
      </c>
      <c r="X14">
        <f>_xlfn.XLOOKUP(G14,'Kraken Trades'!$A$2:$A$28,'Kraken Trades'!$I$2:$I$28,"--",0)</f>
        <v>0.78547389000000001</v>
      </c>
      <c r="Y14">
        <f>_xlfn.XLOOKUP(G14,'Kraken Trades'!$A$2:$A$28,'Kraken Trades'!$J$2:$J$28,"--",0)</f>
        <v>950</v>
      </c>
      <c r="Z14">
        <f>_xlfn.XLOOKUP(G14,'Kraken Trades'!$A$2:$A$28,'Kraken Trades'!$K$2:$K$28,"--",0)</f>
        <v>0</v>
      </c>
      <c r="AA14" t="str">
        <f>_xlfn.XLOOKUP(G14,'Kraken Trades'!$A$2:$A$28,'Kraken Trades'!$L$2:$L$28,"--",0)</f>
        <v>initiated</v>
      </c>
      <c r="AB14" t="str">
        <f>_xlfn.XLOOKUP(G14,'Kraken Trades'!$A$2:$A$28,'Kraken Trades'!$M$2:$M$28,"--",0)</f>
        <v>L7GPCS-DXW2B-NSUS3D,LJGS5J-JIVT5-2JPEC4,LAQ6TD-TG2HT-I27ECB</v>
      </c>
    </row>
    <row r="15" spans="1:28" x14ac:dyDescent="0.15">
      <c r="B15" t="s">
        <v>104</v>
      </c>
      <c r="E15" t="str">
        <f>_xlfn.XLOOKUP(D15,'DEST TAGs'!$A$2:$A$5,'DEST TAGs'!$B$2:$B$5,"--",0)</f>
        <v>--</v>
      </c>
      <c r="F15" t="s">
        <v>126</v>
      </c>
      <c r="G15" t="s">
        <v>125</v>
      </c>
      <c r="H15" s="70">
        <v>44940.425694444442</v>
      </c>
      <c r="I15" t="s">
        <v>112</v>
      </c>
      <c r="K15" t="s">
        <v>107</v>
      </c>
      <c r="L15" t="s">
        <v>114</v>
      </c>
      <c r="M15">
        <v>950</v>
      </c>
      <c r="N15">
        <v>0</v>
      </c>
      <c r="O15">
        <v>950.96944329999997</v>
      </c>
      <c r="P15" t="str">
        <f>_xlfn.XLOOKUP(G15,'Kraken Trades'!$A$2:$A$28,'Kraken Trades'!$A$2:$A$28,"--",0)</f>
        <v>TONPXD-KPDZU-5WAK7C</v>
      </c>
      <c r="Q15" t="str">
        <f>_xlfn.XLOOKUP(G15,'Kraken Trades'!$A$2:$A$28,'Kraken Trades'!$B$2:$B$28,"--",0)</f>
        <v>OA5AQQ-YBGEA-2YGS2M</v>
      </c>
      <c r="R15" t="str">
        <f>_xlfn.XLOOKUP(G15,'Kraken Trades'!$A$2:$A$28,'Kraken Trades'!$C$2:$C$28,"--",0)</f>
        <v>XRPGBP</v>
      </c>
      <c r="S15">
        <f>_xlfn.XLOOKUP(G15,'Kraken Trades'!$A$2:$A$28,'Kraken Trades'!$D$2:$D$28,"--",0)</f>
        <v>9.6805555555555551E-3</v>
      </c>
      <c r="T15" t="str">
        <f>_xlfn.XLOOKUP(G15,'Kraken Trades'!$A$2:$A$28,'Kraken Trades'!$E$2:$E$28,"--",0)</f>
        <v>buy</v>
      </c>
      <c r="U15" t="str">
        <f>_xlfn.XLOOKUP(G15,'Kraken Trades'!$A$2:$A$28,'Kraken Trades'!$F$2:$F$28,"--",0)</f>
        <v>market</v>
      </c>
      <c r="V15">
        <f>_xlfn.XLOOKUP(G15,'Kraken Trades'!$A$2:$A$28,'Kraken Trades'!$G$2:$G$28,"--",0)</f>
        <v>0.31800561999999999</v>
      </c>
      <c r="W15">
        <f>_xlfn.XLOOKUP(G15,'Kraken Trades'!$A$2:$A$28,'Kraken Trades'!$H$2:$H$28,"--",0)</f>
        <v>302.10534269999999</v>
      </c>
      <c r="X15">
        <f>_xlfn.XLOOKUP(G15,'Kraken Trades'!$A$2:$A$28,'Kraken Trades'!$I$2:$I$28,"--",0)</f>
        <v>0.78547389000000001</v>
      </c>
      <c r="Y15">
        <f>_xlfn.XLOOKUP(G15,'Kraken Trades'!$A$2:$A$28,'Kraken Trades'!$J$2:$J$28,"--",0)</f>
        <v>950</v>
      </c>
      <c r="Z15">
        <f>_xlfn.XLOOKUP(G15,'Kraken Trades'!$A$2:$A$28,'Kraken Trades'!$K$2:$K$28,"--",0)</f>
        <v>0</v>
      </c>
      <c r="AA15" t="str">
        <f>_xlfn.XLOOKUP(G15,'Kraken Trades'!$A$2:$A$28,'Kraken Trades'!$L$2:$L$28,"--",0)</f>
        <v>initiated</v>
      </c>
      <c r="AB15" t="str">
        <f>_xlfn.XLOOKUP(G15,'Kraken Trades'!$A$2:$A$28,'Kraken Trades'!$M$2:$M$28,"--",0)</f>
        <v>L7GPCS-DXW2B-NSUS3D,LJGS5J-JIVT5-2JPEC4,LAQ6TD-TG2HT-I27ECB</v>
      </c>
    </row>
    <row r="16" spans="1:28" x14ac:dyDescent="0.15">
      <c r="B16" t="s">
        <v>104</v>
      </c>
      <c r="E16" t="str">
        <f>_xlfn.XLOOKUP(D16,'DEST TAGs'!$A$2:$A$5,'DEST TAGs'!$B$2:$B$5,"--",0)</f>
        <v>--</v>
      </c>
      <c r="F16" t="s">
        <v>127</v>
      </c>
      <c r="G16" t="s">
        <v>125</v>
      </c>
      <c r="H16" s="70">
        <v>44940.425694444442</v>
      </c>
      <c r="I16" t="s">
        <v>112</v>
      </c>
      <c r="K16" t="s">
        <v>107</v>
      </c>
      <c r="L16" t="s">
        <v>116</v>
      </c>
      <c r="M16">
        <v>0</v>
      </c>
      <c r="N16">
        <v>96.02</v>
      </c>
      <c r="O16">
        <v>7814.25</v>
      </c>
      <c r="P16" t="str">
        <f>_xlfn.XLOOKUP(G16,'Kraken Trades'!$A$2:$A$28,'Kraken Trades'!$A$2:$A$28,"--",0)</f>
        <v>TONPXD-KPDZU-5WAK7C</v>
      </c>
      <c r="Q16" t="str">
        <f>_xlfn.XLOOKUP(G16,'Kraken Trades'!$A$2:$A$28,'Kraken Trades'!$B$2:$B$28,"--",0)</f>
        <v>OA5AQQ-YBGEA-2YGS2M</v>
      </c>
      <c r="R16" t="str">
        <f>_xlfn.XLOOKUP(G16,'Kraken Trades'!$A$2:$A$28,'Kraken Trades'!$C$2:$C$28,"--",0)</f>
        <v>XRPGBP</v>
      </c>
      <c r="S16">
        <f>_xlfn.XLOOKUP(G16,'Kraken Trades'!$A$2:$A$28,'Kraken Trades'!$D$2:$D$28,"--",0)</f>
        <v>9.6805555555555551E-3</v>
      </c>
      <c r="T16" t="str">
        <f>_xlfn.XLOOKUP(G16,'Kraken Trades'!$A$2:$A$28,'Kraken Trades'!$E$2:$E$28,"--",0)</f>
        <v>buy</v>
      </c>
      <c r="U16" t="str">
        <f>_xlfn.XLOOKUP(G16,'Kraken Trades'!$A$2:$A$28,'Kraken Trades'!$F$2:$F$28,"--",0)</f>
        <v>market</v>
      </c>
      <c r="V16">
        <f>_xlfn.XLOOKUP(G16,'Kraken Trades'!$A$2:$A$28,'Kraken Trades'!$G$2:$G$28,"--",0)</f>
        <v>0.31800561999999999</v>
      </c>
      <c r="W16">
        <f>_xlfn.XLOOKUP(G16,'Kraken Trades'!$A$2:$A$28,'Kraken Trades'!$H$2:$H$28,"--",0)</f>
        <v>302.10534269999999</v>
      </c>
      <c r="X16">
        <f>_xlfn.XLOOKUP(G16,'Kraken Trades'!$A$2:$A$28,'Kraken Trades'!$I$2:$I$28,"--",0)</f>
        <v>0.78547389000000001</v>
      </c>
      <c r="Y16">
        <f>_xlfn.XLOOKUP(G16,'Kraken Trades'!$A$2:$A$28,'Kraken Trades'!$J$2:$J$28,"--",0)</f>
        <v>950</v>
      </c>
      <c r="Z16">
        <f>_xlfn.XLOOKUP(G16,'Kraken Trades'!$A$2:$A$28,'Kraken Trades'!$K$2:$K$28,"--",0)</f>
        <v>0</v>
      </c>
      <c r="AA16" t="str">
        <f>_xlfn.XLOOKUP(G16,'Kraken Trades'!$A$2:$A$28,'Kraken Trades'!$L$2:$L$28,"--",0)</f>
        <v>initiated</v>
      </c>
      <c r="AB16" t="str">
        <f>_xlfn.XLOOKUP(G16,'Kraken Trades'!$A$2:$A$28,'Kraken Trades'!$M$2:$M$28,"--",0)</f>
        <v>L7GPCS-DXW2B-NSUS3D,LJGS5J-JIVT5-2JPEC4,LAQ6TD-TG2HT-I27ECB</v>
      </c>
    </row>
    <row r="17" spans="2:28" x14ac:dyDescent="0.15">
      <c r="B17" t="s">
        <v>104</v>
      </c>
      <c r="E17" t="str">
        <f>_xlfn.XLOOKUP(D17,'DEST TAGs'!$A$2:$A$5,'DEST TAGs'!$B$2:$B$5,"--",0)</f>
        <v>--</v>
      </c>
      <c r="G17" t="s">
        <v>128</v>
      </c>
      <c r="H17" s="70">
        <v>44940.426388888889</v>
      </c>
      <c r="I17" t="s">
        <v>118</v>
      </c>
      <c r="K17" t="s">
        <v>107</v>
      </c>
      <c r="L17" t="s">
        <v>114</v>
      </c>
      <c r="M17">
        <v>-950</v>
      </c>
      <c r="N17">
        <v>0.02</v>
      </c>
      <c r="P17" t="str">
        <f>_xlfn.XLOOKUP(G17,'Kraken Trades'!$A$2:$A$28,'Kraken Trades'!$A$2:$A$28,"--",0)</f>
        <v>--</v>
      </c>
      <c r="Q17" t="str">
        <f>_xlfn.XLOOKUP(G17,'Kraken Trades'!$A$2:$A$28,'Kraken Trades'!$B$2:$B$28,"--",0)</f>
        <v>--</v>
      </c>
      <c r="R17" t="str">
        <f>_xlfn.XLOOKUP(G17,'Kraken Trades'!$A$2:$A$28,'Kraken Trades'!$C$2:$C$28,"--",0)</f>
        <v>--</v>
      </c>
      <c r="S17" t="str">
        <f>_xlfn.XLOOKUP(G17,'Kraken Trades'!$A$2:$A$28,'Kraken Trades'!$D$2:$D$28,"--",0)</f>
        <v>--</v>
      </c>
      <c r="T17" t="str">
        <f>_xlfn.XLOOKUP(G17,'Kraken Trades'!$A$2:$A$28,'Kraken Trades'!$E$2:$E$28,"--",0)</f>
        <v>--</v>
      </c>
      <c r="U17" t="str">
        <f>_xlfn.XLOOKUP(G17,'Kraken Trades'!$A$2:$A$28,'Kraken Trades'!$F$2:$F$28,"--",0)</f>
        <v>--</v>
      </c>
      <c r="V17" t="str">
        <f>_xlfn.XLOOKUP(G17,'Kraken Trades'!$A$2:$A$28,'Kraken Trades'!$G$2:$G$28,"--",0)</f>
        <v>--</v>
      </c>
      <c r="W17" t="str">
        <f>_xlfn.XLOOKUP(G17,'Kraken Trades'!$A$2:$A$28,'Kraken Trades'!$H$2:$H$28,"--",0)</f>
        <v>--</v>
      </c>
      <c r="X17" t="str">
        <f>_xlfn.XLOOKUP(G17,'Kraken Trades'!$A$2:$A$28,'Kraken Trades'!$I$2:$I$28,"--",0)</f>
        <v>--</v>
      </c>
      <c r="Y17" t="str">
        <f>_xlfn.XLOOKUP(G17,'Kraken Trades'!$A$2:$A$28,'Kraken Trades'!$J$2:$J$28,"--",0)</f>
        <v>--</v>
      </c>
      <c r="Z17" t="str">
        <f>_xlfn.XLOOKUP(G17,'Kraken Trades'!$A$2:$A$28,'Kraken Trades'!$K$2:$K$28,"--",0)</f>
        <v>--</v>
      </c>
      <c r="AA17" t="str">
        <f>_xlfn.XLOOKUP(G17,'Kraken Trades'!$A$2:$A$28,'Kraken Trades'!$L$2:$L$28,"--",0)</f>
        <v>--</v>
      </c>
      <c r="AB17" t="str">
        <f>_xlfn.XLOOKUP(G17,'Kraken Trades'!$A$2:$A$28,'Kraken Trades'!$M$2:$M$28,"--",0)</f>
        <v>--</v>
      </c>
    </row>
    <row r="18" spans="2:28" x14ac:dyDescent="0.15">
      <c r="B18" t="s">
        <v>104</v>
      </c>
      <c r="E18" t="str">
        <f>_xlfn.XLOOKUP(D18,'DEST TAGs'!$A$2:$A$5,'DEST TAGs'!$B$2:$B$5,"--",0)</f>
        <v>--</v>
      </c>
      <c r="F18" t="s">
        <v>129</v>
      </c>
      <c r="G18" t="s">
        <v>128</v>
      </c>
      <c r="H18" s="70">
        <v>44940.427777777775</v>
      </c>
      <c r="I18" t="s">
        <v>118</v>
      </c>
      <c r="K18" t="s">
        <v>107</v>
      </c>
      <c r="L18" t="s">
        <v>114</v>
      </c>
      <c r="M18">
        <v>-950</v>
      </c>
      <c r="N18">
        <v>0.02</v>
      </c>
      <c r="O18">
        <v>0.94944333999999997</v>
      </c>
      <c r="P18" t="str">
        <f>_xlfn.XLOOKUP(G18,'Kraken Trades'!$A$2:$A$28,'Kraken Trades'!$A$2:$A$28,"--",0)</f>
        <v>--</v>
      </c>
      <c r="Q18" t="str">
        <f>_xlfn.XLOOKUP(G18,'Kraken Trades'!$A$2:$A$28,'Kraken Trades'!$B$2:$B$28,"--",0)</f>
        <v>--</v>
      </c>
      <c r="R18" t="str">
        <f>_xlfn.XLOOKUP(G18,'Kraken Trades'!$A$2:$A$28,'Kraken Trades'!$C$2:$C$28,"--",0)</f>
        <v>--</v>
      </c>
      <c r="S18" t="str">
        <f>_xlfn.XLOOKUP(G18,'Kraken Trades'!$A$2:$A$28,'Kraken Trades'!$D$2:$D$28,"--",0)</f>
        <v>--</v>
      </c>
      <c r="T18" t="str">
        <f>_xlfn.XLOOKUP(G18,'Kraken Trades'!$A$2:$A$28,'Kraken Trades'!$E$2:$E$28,"--",0)</f>
        <v>--</v>
      </c>
      <c r="U18" t="str">
        <f>_xlfn.XLOOKUP(G18,'Kraken Trades'!$A$2:$A$28,'Kraken Trades'!$F$2:$F$28,"--",0)</f>
        <v>--</v>
      </c>
      <c r="V18" t="str">
        <f>_xlfn.XLOOKUP(G18,'Kraken Trades'!$A$2:$A$28,'Kraken Trades'!$G$2:$G$28,"--",0)</f>
        <v>--</v>
      </c>
      <c r="W18" t="str">
        <f>_xlfn.XLOOKUP(G18,'Kraken Trades'!$A$2:$A$28,'Kraken Trades'!$H$2:$H$28,"--",0)</f>
        <v>--</v>
      </c>
      <c r="X18" t="str">
        <f>_xlfn.XLOOKUP(G18,'Kraken Trades'!$A$2:$A$28,'Kraken Trades'!$I$2:$I$28,"--",0)</f>
        <v>--</v>
      </c>
      <c r="Y18" t="str">
        <f>_xlfn.XLOOKUP(G18,'Kraken Trades'!$A$2:$A$28,'Kraken Trades'!$J$2:$J$28,"--",0)</f>
        <v>--</v>
      </c>
      <c r="Z18" t="str">
        <f>_xlfn.XLOOKUP(G18,'Kraken Trades'!$A$2:$A$28,'Kraken Trades'!$K$2:$K$28,"--",0)</f>
        <v>--</v>
      </c>
      <c r="AA18" t="str">
        <f>_xlfn.XLOOKUP(G18,'Kraken Trades'!$A$2:$A$28,'Kraken Trades'!$L$2:$L$28,"--",0)</f>
        <v>--</v>
      </c>
      <c r="AB18" t="str">
        <f>_xlfn.XLOOKUP(G18,'Kraken Trades'!$A$2:$A$28,'Kraken Trades'!$M$2:$M$28,"--",0)</f>
        <v>--</v>
      </c>
    </row>
    <row r="19" spans="2:28" x14ac:dyDescent="0.15">
      <c r="B19" t="s">
        <v>104</v>
      </c>
      <c r="E19" t="str">
        <f>_xlfn.XLOOKUP(D19,'DEST TAGs'!$A$2:$A$5,'DEST TAGs'!$B$2:$B$5,"--",0)</f>
        <v>--</v>
      </c>
      <c r="G19" t="s">
        <v>130</v>
      </c>
      <c r="H19" s="70">
        <v>44945.443749999999</v>
      </c>
      <c r="I19" t="s">
        <v>106</v>
      </c>
      <c r="K19" t="s">
        <v>107</v>
      </c>
      <c r="L19" t="s">
        <v>108</v>
      </c>
      <c r="M19">
        <v>850</v>
      </c>
      <c r="N19">
        <v>0</v>
      </c>
      <c r="P19" t="str">
        <f>_xlfn.XLOOKUP(G19,'Kraken Trades'!$A$2:$A$28,'Kraken Trades'!$A$2:$A$28,"--",0)</f>
        <v>--</v>
      </c>
      <c r="Q19" t="str">
        <f>_xlfn.XLOOKUP(G19,'Kraken Trades'!$A$2:$A$28,'Kraken Trades'!$B$2:$B$28,"--",0)</f>
        <v>--</v>
      </c>
      <c r="R19" t="str">
        <f>_xlfn.XLOOKUP(G19,'Kraken Trades'!$A$2:$A$28,'Kraken Trades'!$C$2:$C$28,"--",0)</f>
        <v>--</v>
      </c>
      <c r="S19" t="str">
        <f>_xlfn.XLOOKUP(G19,'Kraken Trades'!$A$2:$A$28,'Kraken Trades'!$D$2:$D$28,"--",0)</f>
        <v>--</v>
      </c>
      <c r="T19" t="str">
        <f>_xlfn.XLOOKUP(G19,'Kraken Trades'!$A$2:$A$28,'Kraken Trades'!$E$2:$E$28,"--",0)</f>
        <v>--</v>
      </c>
      <c r="U19" t="str">
        <f>_xlfn.XLOOKUP(G19,'Kraken Trades'!$A$2:$A$28,'Kraken Trades'!$F$2:$F$28,"--",0)</f>
        <v>--</v>
      </c>
      <c r="V19" t="str">
        <f>_xlfn.XLOOKUP(G19,'Kraken Trades'!$A$2:$A$28,'Kraken Trades'!$G$2:$G$28,"--",0)</f>
        <v>--</v>
      </c>
      <c r="W19" t="str">
        <f>_xlfn.XLOOKUP(G19,'Kraken Trades'!$A$2:$A$28,'Kraken Trades'!$H$2:$H$28,"--",0)</f>
        <v>--</v>
      </c>
      <c r="X19" t="str">
        <f>_xlfn.XLOOKUP(G19,'Kraken Trades'!$A$2:$A$28,'Kraken Trades'!$I$2:$I$28,"--",0)</f>
        <v>--</v>
      </c>
      <c r="Y19" t="str">
        <f>_xlfn.XLOOKUP(G19,'Kraken Trades'!$A$2:$A$28,'Kraken Trades'!$J$2:$J$28,"--",0)</f>
        <v>--</v>
      </c>
      <c r="Z19" t="str">
        <f>_xlfn.XLOOKUP(G19,'Kraken Trades'!$A$2:$A$28,'Kraken Trades'!$K$2:$K$28,"--",0)</f>
        <v>--</v>
      </c>
      <c r="AA19" t="str">
        <f>_xlfn.XLOOKUP(G19,'Kraken Trades'!$A$2:$A$28,'Kraken Trades'!$L$2:$L$28,"--",0)</f>
        <v>--</v>
      </c>
      <c r="AB19" t="str">
        <f>_xlfn.XLOOKUP(G19,'Kraken Trades'!$A$2:$A$28,'Kraken Trades'!$M$2:$M$28,"--",0)</f>
        <v>--</v>
      </c>
    </row>
    <row r="20" spans="2:28" x14ac:dyDescent="0.15">
      <c r="B20" t="s">
        <v>104</v>
      </c>
      <c r="E20" t="str">
        <f>_xlfn.XLOOKUP(D20,'DEST TAGs'!$A$2:$A$5,'DEST TAGs'!$B$2:$B$5,"--",0)</f>
        <v>--</v>
      </c>
      <c r="F20" t="s">
        <v>131</v>
      </c>
      <c r="G20" t="s">
        <v>130</v>
      </c>
      <c r="H20" s="70">
        <v>44945.45</v>
      </c>
      <c r="I20" t="s">
        <v>106</v>
      </c>
      <c r="K20" t="s">
        <v>107</v>
      </c>
      <c r="L20" t="s">
        <v>108</v>
      </c>
      <c r="M20">
        <v>850</v>
      </c>
      <c r="N20">
        <v>0</v>
      </c>
      <c r="O20">
        <v>851.7097</v>
      </c>
      <c r="P20" t="str">
        <f>_xlfn.XLOOKUP(G20,'Kraken Trades'!$A$2:$A$28,'Kraken Trades'!$A$2:$A$28,"--",0)</f>
        <v>--</v>
      </c>
      <c r="Q20" t="str">
        <f>_xlfn.XLOOKUP(G20,'Kraken Trades'!$A$2:$A$28,'Kraken Trades'!$B$2:$B$28,"--",0)</f>
        <v>--</v>
      </c>
      <c r="R20" t="str">
        <f>_xlfn.XLOOKUP(G20,'Kraken Trades'!$A$2:$A$28,'Kraken Trades'!$C$2:$C$28,"--",0)</f>
        <v>--</v>
      </c>
      <c r="S20" t="str">
        <f>_xlfn.XLOOKUP(G20,'Kraken Trades'!$A$2:$A$28,'Kraken Trades'!$D$2:$D$28,"--",0)</f>
        <v>--</v>
      </c>
      <c r="T20" t="str">
        <f>_xlfn.XLOOKUP(G20,'Kraken Trades'!$A$2:$A$28,'Kraken Trades'!$E$2:$E$28,"--",0)</f>
        <v>--</v>
      </c>
      <c r="U20" t="str">
        <f>_xlfn.XLOOKUP(G20,'Kraken Trades'!$A$2:$A$28,'Kraken Trades'!$F$2:$F$28,"--",0)</f>
        <v>--</v>
      </c>
      <c r="V20" t="str">
        <f>_xlfn.XLOOKUP(G20,'Kraken Trades'!$A$2:$A$28,'Kraken Trades'!$G$2:$G$28,"--",0)</f>
        <v>--</v>
      </c>
      <c r="W20" t="str">
        <f>_xlfn.XLOOKUP(G20,'Kraken Trades'!$A$2:$A$28,'Kraken Trades'!$H$2:$H$28,"--",0)</f>
        <v>--</v>
      </c>
      <c r="X20" t="str">
        <f>_xlfn.XLOOKUP(G20,'Kraken Trades'!$A$2:$A$28,'Kraken Trades'!$I$2:$I$28,"--",0)</f>
        <v>--</v>
      </c>
      <c r="Y20" t="str">
        <f>_xlfn.XLOOKUP(G20,'Kraken Trades'!$A$2:$A$28,'Kraken Trades'!$J$2:$J$28,"--",0)</f>
        <v>--</v>
      </c>
      <c r="Z20" t="str">
        <f>_xlfn.XLOOKUP(G20,'Kraken Trades'!$A$2:$A$28,'Kraken Trades'!$K$2:$K$28,"--",0)</f>
        <v>--</v>
      </c>
      <c r="AA20" t="str">
        <f>_xlfn.XLOOKUP(G20,'Kraken Trades'!$A$2:$A$28,'Kraken Trades'!$L$2:$L$28,"--",0)</f>
        <v>--</v>
      </c>
      <c r="AB20" t="str">
        <f>_xlfn.XLOOKUP(G20,'Kraken Trades'!$A$2:$A$28,'Kraken Trades'!$M$2:$M$28,"--",0)</f>
        <v>--</v>
      </c>
    </row>
    <row r="21" spans="2:28" x14ac:dyDescent="0.15">
      <c r="B21" t="s">
        <v>104</v>
      </c>
      <c r="E21" t="str">
        <f>_xlfn.XLOOKUP(D21,'DEST TAGs'!$A$2:$A$5,'DEST TAGs'!$B$2:$B$5,"--",0)</f>
        <v>--</v>
      </c>
      <c r="F21" t="s">
        <v>132</v>
      </c>
      <c r="G21" t="s">
        <v>133</v>
      </c>
      <c r="H21" s="70">
        <v>44945.45208333333</v>
      </c>
      <c r="I21" t="s">
        <v>112</v>
      </c>
      <c r="K21" t="s">
        <v>107</v>
      </c>
      <c r="L21" t="s">
        <v>108</v>
      </c>
      <c r="M21">
        <v>-850.28420000000006</v>
      </c>
      <c r="N21">
        <v>0</v>
      </c>
      <c r="O21">
        <v>1.4255</v>
      </c>
      <c r="P21" t="str">
        <f>_xlfn.XLOOKUP(G21,'Kraken Trades'!$A$2:$A$28,'Kraken Trades'!$A$2:$A$28,"--",0)</f>
        <v>TFUFLH-JICVN-QIRXBC</v>
      </c>
      <c r="Q21" t="str">
        <f>_xlfn.XLOOKUP(G21,'Kraken Trades'!$A$2:$A$28,'Kraken Trades'!$B$2:$B$28,"--",0)</f>
        <v>ON4G3V-EWYBS-PENEAQ</v>
      </c>
      <c r="R21" t="str">
        <f>_xlfn.XLOOKUP(G21,'Kraken Trades'!$A$2:$A$28,'Kraken Trades'!$C$2:$C$28,"--",0)</f>
        <v>XRPGBP</v>
      </c>
      <c r="S21">
        <f>_xlfn.XLOOKUP(G21,'Kraken Trades'!$A$2:$A$28,'Kraken Trades'!$D$2:$D$28,"--",0)</f>
        <v>3.551157407407407E-2</v>
      </c>
      <c r="T21" t="str">
        <f>_xlfn.XLOOKUP(G21,'Kraken Trades'!$A$2:$A$28,'Kraken Trades'!$E$2:$E$28,"--",0)</f>
        <v>buy</v>
      </c>
      <c r="U21" t="str">
        <f>_xlfn.XLOOKUP(G21,'Kraken Trades'!$A$2:$A$28,'Kraken Trades'!$F$2:$F$28,"--",0)</f>
        <v>market</v>
      </c>
      <c r="V21">
        <f>_xlfn.XLOOKUP(G21,'Kraken Trades'!$A$2:$A$28,'Kraken Trades'!$G$2:$G$28,"--",0)</f>
        <v>0.31492010999999998</v>
      </c>
      <c r="W21">
        <f>_xlfn.XLOOKUP(G21,'Kraken Trades'!$A$2:$A$28,'Kraken Trades'!$H$2:$H$28,"--",0)</f>
        <v>850.28430979999996</v>
      </c>
      <c r="X21">
        <f>_xlfn.XLOOKUP(G21,'Kraken Trades'!$A$2:$A$28,'Kraken Trades'!$I$2:$I$28,"--",0)</f>
        <v>2.2107392099999998</v>
      </c>
      <c r="Y21">
        <f>_xlfn.XLOOKUP(G21,'Kraken Trades'!$A$2:$A$28,'Kraken Trades'!$J$2:$J$28,"--",0)</f>
        <v>2700</v>
      </c>
      <c r="Z21">
        <f>_xlfn.XLOOKUP(G21,'Kraken Trades'!$A$2:$A$28,'Kraken Trades'!$K$2:$K$28,"--",0)</f>
        <v>0</v>
      </c>
      <c r="AA21" t="str">
        <f>_xlfn.XLOOKUP(G21,'Kraken Trades'!$A$2:$A$28,'Kraken Trades'!$L$2:$L$28,"--",0)</f>
        <v>initiated</v>
      </c>
      <c r="AB21" t="str">
        <f>_xlfn.XLOOKUP(G21,'Kraken Trades'!$A$2:$A$28,'Kraken Trades'!$M$2:$M$28,"--",0)</f>
        <v>L2AZFP-MHOGI-Z6IC76,LQENTR-CXN3S-V2AFUZ,LQ5Y6F-GXLDN-OQIMCY</v>
      </c>
    </row>
    <row r="22" spans="2:28" x14ac:dyDescent="0.15">
      <c r="B22" t="s">
        <v>104</v>
      </c>
      <c r="E22" t="str">
        <f>_xlfn.XLOOKUP(D22,'DEST TAGs'!$A$2:$A$5,'DEST TAGs'!$B$2:$B$5,"--",0)</f>
        <v>--</v>
      </c>
      <c r="F22" t="s">
        <v>134</v>
      </c>
      <c r="G22" t="s">
        <v>133</v>
      </c>
      <c r="H22" s="70">
        <v>44945.45208333333</v>
      </c>
      <c r="I22" t="s">
        <v>112</v>
      </c>
      <c r="K22" t="s">
        <v>107</v>
      </c>
      <c r="L22" t="s">
        <v>114</v>
      </c>
      <c r="M22">
        <v>2700</v>
      </c>
      <c r="N22">
        <v>0</v>
      </c>
      <c r="O22">
        <v>2700.949443</v>
      </c>
      <c r="P22" t="str">
        <f>_xlfn.XLOOKUP(G22,'Kraken Trades'!$A$2:$A$28,'Kraken Trades'!$A$2:$A$28,"--",0)</f>
        <v>TFUFLH-JICVN-QIRXBC</v>
      </c>
      <c r="Q22" t="str">
        <f>_xlfn.XLOOKUP(G22,'Kraken Trades'!$A$2:$A$28,'Kraken Trades'!$B$2:$B$28,"--",0)</f>
        <v>ON4G3V-EWYBS-PENEAQ</v>
      </c>
      <c r="R22" t="str">
        <f>_xlfn.XLOOKUP(G22,'Kraken Trades'!$A$2:$A$28,'Kraken Trades'!$C$2:$C$28,"--",0)</f>
        <v>XRPGBP</v>
      </c>
      <c r="S22">
        <f>_xlfn.XLOOKUP(G22,'Kraken Trades'!$A$2:$A$28,'Kraken Trades'!$D$2:$D$28,"--",0)</f>
        <v>3.551157407407407E-2</v>
      </c>
      <c r="T22" t="str">
        <f>_xlfn.XLOOKUP(G22,'Kraken Trades'!$A$2:$A$28,'Kraken Trades'!$E$2:$E$28,"--",0)</f>
        <v>buy</v>
      </c>
      <c r="U22" t="str">
        <f>_xlfn.XLOOKUP(G22,'Kraken Trades'!$A$2:$A$28,'Kraken Trades'!$F$2:$F$28,"--",0)</f>
        <v>market</v>
      </c>
      <c r="V22">
        <f>_xlfn.XLOOKUP(G22,'Kraken Trades'!$A$2:$A$28,'Kraken Trades'!$G$2:$G$28,"--",0)</f>
        <v>0.31492010999999998</v>
      </c>
      <c r="W22">
        <f>_xlfn.XLOOKUP(G22,'Kraken Trades'!$A$2:$A$28,'Kraken Trades'!$H$2:$H$28,"--",0)</f>
        <v>850.28430979999996</v>
      </c>
      <c r="X22">
        <f>_xlfn.XLOOKUP(G22,'Kraken Trades'!$A$2:$A$28,'Kraken Trades'!$I$2:$I$28,"--",0)</f>
        <v>2.2107392099999998</v>
      </c>
      <c r="Y22">
        <f>_xlfn.XLOOKUP(G22,'Kraken Trades'!$A$2:$A$28,'Kraken Trades'!$J$2:$J$28,"--",0)</f>
        <v>2700</v>
      </c>
      <c r="Z22">
        <f>_xlfn.XLOOKUP(G22,'Kraken Trades'!$A$2:$A$28,'Kraken Trades'!$K$2:$K$28,"--",0)</f>
        <v>0</v>
      </c>
      <c r="AA22" t="str">
        <f>_xlfn.XLOOKUP(G22,'Kraken Trades'!$A$2:$A$28,'Kraken Trades'!$L$2:$L$28,"--",0)</f>
        <v>initiated</v>
      </c>
      <c r="AB22" t="str">
        <f>_xlfn.XLOOKUP(G22,'Kraken Trades'!$A$2:$A$28,'Kraken Trades'!$M$2:$M$28,"--",0)</f>
        <v>L2AZFP-MHOGI-Z6IC76,LQENTR-CXN3S-V2AFUZ,LQ5Y6F-GXLDN-OQIMCY</v>
      </c>
    </row>
    <row r="23" spans="2:28" x14ac:dyDescent="0.15">
      <c r="B23" t="s">
        <v>104</v>
      </c>
      <c r="E23" t="str">
        <f>_xlfn.XLOOKUP(D23,'DEST TAGs'!$A$2:$A$5,'DEST TAGs'!$B$2:$B$5,"--",0)</f>
        <v>--</v>
      </c>
      <c r="F23" t="s">
        <v>135</v>
      </c>
      <c r="G23" t="s">
        <v>133</v>
      </c>
      <c r="H23" s="70">
        <v>44945.45208333333</v>
      </c>
      <c r="I23" t="s">
        <v>112</v>
      </c>
      <c r="K23" t="s">
        <v>107</v>
      </c>
      <c r="L23" t="s">
        <v>116</v>
      </c>
      <c r="M23">
        <v>0</v>
      </c>
      <c r="N23">
        <v>272.55</v>
      </c>
      <c r="O23">
        <v>7541.7</v>
      </c>
      <c r="P23" t="str">
        <f>_xlfn.XLOOKUP(G23,'Kraken Trades'!$A$2:$A$28,'Kraken Trades'!$A$2:$A$28,"--",0)</f>
        <v>TFUFLH-JICVN-QIRXBC</v>
      </c>
      <c r="Q23" t="str">
        <f>_xlfn.XLOOKUP(G23,'Kraken Trades'!$A$2:$A$28,'Kraken Trades'!$B$2:$B$28,"--",0)</f>
        <v>ON4G3V-EWYBS-PENEAQ</v>
      </c>
      <c r="R23" t="str">
        <f>_xlfn.XLOOKUP(G23,'Kraken Trades'!$A$2:$A$28,'Kraken Trades'!$C$2:$C$28,"--",0)</f>
        <v>XRPGBP</v>
      </c>
      <c r="S23">
        <f>_xlfn.XLOOKUP(G23,'Kraken Trades'!$A$2:$A$28,'Kraken Trades'!$D$2:$D$28,"--",0)</f>
        <v>3.551157407407407E-2</v>
      </c>
      <c r="T23" t="str">
        <f>_xlfn.XLOOKUP(G23,'Kraken Trades'!$A$2:$A$28,'Kraken Trades'!$E$2:$E$28,"--",0)</f>
        <v>buy</v>
      </c>
      <c r="U23" t="str">
        <f>_xlfn.XLOOKUP(G23,'Kraken Trades'!$A$2:$A$28,'Kraken Trades'!$F$2:$F$28,"--",0)</f>
        <v>market</v>
      </c>
      <c r="V23">
        <f>_xlfn.XLOOKUP(G23,'Kraken Trades'!$A$2:$A$28,'Kraken Trades'!$G$2:$G$28,"--",0)</f>
        <v>0.31492010999999998</v>
      </c>
      <c r="W23">
        <f>_xlfn.XLOOKUP(G23,'Kraken Trades'!$A$2:$A$28,'Kraken Trades'!$H$2:$H$28,"--",0)</f>
        <v>850.28430979999996</v>
      </c>
      <c r="X23">
        <f>_xlfn.XLOOKUP(G23,'Kraken Trades'!$A$2:$A$28,'Kraken Trades'!$I$2:$I$28,"--",0)</f>
        <v>2.2107392099999998</v>
      </c>
      <c r="Y23">
        <f>_xlfn.XLOOKUP(G23,'Kraken Trades'!$A$2:$A$28,'Kraken Trades'!$J$2:$J$28,"--",0)</f>
        <v>2700</v>
      </c>
      <c r="Z23">
        <f>_xlfn.XLOOKUP(G23,'Kraken Trades'!$A$2:$A$28,'Kraken Trades'!$K$2:$K$28,"--",0)</f>
        <v>0</v>
      </c>
      <c r="AA23" t="str">
        <f>_xlfn.XLOOKUP(G23,'Kraken Trades'!$A$2:$A$28,'Kraken Trades'!$L$2:$L$28,"--",0)</f>
        <v>initiated</v>
      </c>
      <c r="AB23" t="str">
        <f>_xlfn.XLOOKUP(G23,'Kraken Trades'!$A$2:$A$28,'Kraken Trades'!$M$2:$M$28,"--",0)</f>
        <v>L2AZFP-MHOGI-Z6IC76,LQENTR-CXN3S-V2AFUZ,LQ5Y6F-GXLDN-OQIMCY</v>
      </c>
    </row>
    <row r="24" spans="2:28" x14ac:dyDescent="0.15">
      <c r="B24" t="s">
        <v>104</v>
      </c>
      <c r="E24" t="str">
        <f>_xlfn.XLOOKUP(D24,'DEST TAGs'!$A$2:$A$5,'DEST TAGs'!$B$2:$B$5,"--",0)</f>
        <v>--</v>
      </c>
      <c r="G24" t="s">
        <v>136</v>
      </c>
      <c r="H24" s="70">
        <v>44945.45208333333</v>
      </c>
      <c r="I24" t="s">
        <v>118</v>
      </c>
      <c r="K24" t="s">
        <v>107</v>
      </c>
      <c r="L24" t="s">
        <v>114</v>
      </c>
      <c r="M24">
        <v>-2700</v>
      </c>
      <c r="N24">
        <v>0.02</v>
      </c>
      <c r="P24" t="str">
        <f>_xlfn.XLOOKUP(G24,'Kraken Trades'!$A$2:$A$28,'Kraken Trades'!$A$2:$A$28,"--",0)</f>
        <v>--</v>
      </c>
      <c r="Q24" t="str">
        <f>_xlfn.XLOOKUP(G24,'Kraken Trades'!$A$2:$A$28,'Kraken Trades'!$B$2:$B$28,"--",0)</f>
        <v>--</v>
      </c>
      <c r="R24" t="str">
        <f>_xlfn.XLOOKUP(G24,'Kraken Trades'!$A$2:$A$28,'Kraken Trades'!$C$2:$C$28,"--",0)</f>
        <v>--</v>
      </c>
      <c r="S24" t="str">
        <f>_xlfn.XLOOKUP(G24,'Kraken Trades'!$A$2:$A$28,'Kraken Trades'!$D$2:$D$28,"--",0)</f>
        <v>--</v>
      </c>
      <c r="T24" t="str">
        <f>_xlfn.XLOOKUP(G24,'Kraken Trades'!$A$2:$A$28,'Kraken Trades'!$E$2:$E$28,"--",0)</f>
        <v>--</v>
      </c>
      <c r="U24" t="str">
        <f>_xlfn.XLOOKUP(G24,'Kraken Trades'!$A$2:$A$28,'Kraken Trades'!$F$2:$F$28,"--",0)</f>
        <v>--</v>
      </c>
      <c r="V24" t="str">
        <f>_xlfn.XLOOKUP(G24,'Kraken Trades'!$A$2:$A$28,'Kraken Trades'!$G$2:$G$28,"--",0)</f>
        <v>--</v>
      </c>
      <c r="W24" t="str">
        <f>_xlfn.XLOOKUP(G24,'Kraken Trades'!$A$2:$A$28,'Kraken Trades'!$H$2:$H$28,"--",0)</f>
        <v>--</v>
      </c>
      <c r="X24" t="str">
        <f>_xlfn.XLOOKUP(G24,'Kraken Trades'!$A$2:$A$28,'Kraken Trades'!$I$2:$I$28,"--",0)</f>
        <v>--</v>
      </c>
      <c r="Y24" t="str">
        <f>_xlfn.XLOOKUP(G24,'Kraken Trades'!$A$2:$A$28,'Kraken Trades'!$J$2:$J$28,"--",0)</f>
        <v>--</v>
      </c>
      <c r="Z24" t="str">
        <f>_xlfn.XLOOKUP(G24,'Kraken Trades'!$A$2:$A$28,'Kraken Trades'!$K$2:$K$28,"--",0)</f>
        <v>--</v>
      </c>
      <c r="AA24" t="str">
        <f>_xlfn.XLOOKUP(G24,'Kraken Trades'!$A$2:$A$28,'Kraken Trades'!$L$2:$L$28,"--",0)</f>
        <v>--</v>
      </c>
      <c r="AB24" t="str">
        <f>_xlfn.XLOOKUP(G24,'Kraken Trades'!$A$2:$A$28,'Kraken Trades'!$M$2:$M$28,"--",0)</f>
        <v>--</v>
      </c>
    </row>
    <row r="25" spans="2:28" x14ac:dyDescent="0.15">
      <c r="B25" t="s">
        <v>104</v>
      </c>
      <c r="E25" t="str">
        <f>_xlfn.XLOOKUP(D25,'DEST TAGs'!$A$2:$A$5,'DEST TAGs'!$B$2:$B$5,"--",0)</f>
        <v>--</v>
      </c>
      <c r="F25" t="s">
        <v>137</v>
      </c>
      <c r="G25" t="s">
        <v>136</v>
      </c>
      <c r="H25" s="70">
        <v>44945.453472222223</v>
      </c>
      <c r="I25" t="s">
        <v>118</v>
      </c>
      <c r="K25" t="s">
        <v>107</v>
      </c>
      <c r="L25" t="s">
        <v>114</v>
      </c>
      <c r="M25">
        <v>-2700</v>
      </c>
      <c r="N25">
        <v>0.02</v>
      </c>
      <c r="O25">
        <v>0.92944333999999995</v>
      </c>
      <c r="P25" t="str">
        <f>_xlfn.XLOOKUP(G25,'Kraken Trades'!$A$2:$A$28,'Kraken Trades'!$A$2:$A$28,"--",0)</f>
        <v>--</v>
      </c>
      <c r="Q25" t="str">
        <f>_xlfn.XLOOKUP(G25,'Kraken Trades'!$A$2:$A$28,'Kraken Trades'!$B$2:$B$28,"--",0)</f>
        <v>--</v>
      </c>
      <c r="R25" t="str">
        <f>_xlfn.XLOOKUP(G25,'Kraken Trades'!$A$2:$A$28,'Kraken Trades'!$C$2:$C$28,"--",0)</f>
        <v>--</v>
      </c>
      <c r="S25" t="str">
        <f>_xlfn.XLOOKUP(G25,'Kraken Trades'!$A$2:$A$28,'Kraken Trades'!$D$2:$D$28,"--",0)</f>
        <v>--</v>
      </c>
      <c r="T25" t="str">
        <f>_xlfn.XLOOKUP(G25,'Kraken Trades'!$A$2:$A$28,'Kraken Trades'!$E$2:$E$28,"--",0)</f>
        <v>--</v>
      </c>
      <c r="U25" t="str">
        <f>_xlfn.XLOOKUP(G25,'Kraken Trades'!$A$2:$A$28,'Kraken Trades'!$F$2:$F$28,"--",0)</f>
        <v>--</v>
      </c>
      <c r="V25" t="str">
        <f>_xlfn.XLOOKUP(G25,'Kraken Trades'!$A$2:$A$28,'Kraken Trades'!$G$2:$G$28,"--",0)</f>
        <v>--</v>
      </c>
      <c r="W25" t="str">
        <f>_xlfn.XLOOKUP(G25,'Kraken Trades'!$A$2:$A$28,'Kraken Trades'!$H$2:$H$28,"--",0)</f>
        <v>--</v>
      </c>
      <c r="X25" t="str">
        <f>_xlfn.XLOOKUP(G25,'Kraken Trades'!$A$2:$A$28,'Kraken Trades'!$I$2:$I$28,"--",0)</f>
        <v>--</v>
      </c>
      <c r="Y25" t="str">
        <f>_xlfn.XLOOKUP(G25,'Kraken Trades'!$A$2:$A$28,'Kraken Trades'!$J$2:$J$28,"--",0)</f>
        <v>--</v>
      </c>
      <c r="Z25" t="str">
        <f>_xlfn.XLOOKUP(G25,'Kraken Trades'!$A$2:$A$28,'Kraken Trades'!$K$2:$K$28,"--",0)</f>
        <v>--</v>
      </c>
      <c r="AA25" t="str">
        <f>_xlfn.XLOOKUP(G25,'Kraken Trades'!$A$2:$A$28,'Kraken Trades'!$L$2:$L$28,"--",0)</f>
        <v>--</v>
      </c>
      <c r="AB25" t="str">
        <f>_xlfn.XLOOKUP(G25,'Kraken Trades'!$A$2:$A$28,'Kraken Trades'!$M$2:$M$28,"--",0)</f>
        <v>--</v>
      </c>
    </row>
    <row r="26" spans="2:28" x14ac:dyDescent="0.15">
      <c r="B26" t="s">
        <v>104</v>
      </c>
      <c r="E26" t="str">
        <f>_xlfn.XLOOKUP(D26,'DEST TAGs'!$A$2:$A$5,'DEST TAGs'!$B$2:$B$5,"--",0)</f>
        <v>--</v>
      </c>
      <c r="G26" t="s">
        <v>138</v>
      </c>
      <c r="H26" s="70">
        <v>44954.459722222222</v>
      </c>
      <c r="I26" t="s">
        <v>106</v>
      </c>
      <c r="K26" t="s">
        <v>107</v>
      </c>
      <c r="L26" t="s">
        <v>108</v>
      </c>
      <c r="M26">
        <v>175</v>
      </c>
      <c r="N26">
        <v>0</v>
      </c>
      <c r="P26" t="str">
        <f>_xlfn.XLOOKUP(G26,'Kraken Trades'!$A$2:$A$28,'Kraken Trades'!$A$2:$A$28,"--",0)</f>
        <v>--</v>
      </c>
      <c r="Q26" t="str">
        <f>_xlfn.XLOOKUP(G26,'Kraken Trades'!$A$2:$A$28,'Kraken Trades'!$B$2:$B$28,"--",0)</f>
        <v>--</v>
      </c>
      <c r="R26" t="str">
        <f>_xlfn.XLOOKUP(G26,'Kraken Trades'!$A$2:$A$28,'Kraken Trades'!$C$2:$C$28,"--",0)</f>
        <v>--</v>
      </c>
      <c r="S26" t="str">
        <f>_xlfn.XLOOKUP(G26,'Kraken Trades'!$A$2:$A$28,'Kraken Trades'!$D$2:$D$28,"--",0)</f>
        <v>--</v>
      </c>
      <c r="T26" t="str">
        <f>_xlfn.XLOOKUP(G26,'Kraken Trades'!$A$2:$A$28,'Kraken Trades'!$E$2:$E$28,"--",0)</f>
        <v>--</v>
      </c>
      <c r="U26" t="str">
        <f>_xlfn.XLOOKUP(G26,'Kraken Trades'!$A$2:$A$28,'Kraken Trades'!$F$2:$F$28,"--",0)</f>
        <v>--</v>
      </c>
      <c r="V26" t="str">
        <f>_xlfn.XLOOKUP(G26,'Kraken Trades'!$A$2:$A$28,'Kraken Trades'!$G$2:$G$28,"--",0)</f>
        <v>--</v>
      </c>
      <c r="W26" t="str">
        <f>_xlfn.XLOOKUP(G26,'Kraken Trades'!$A$2:$A$28,'Kraken Trades'!$H$2:$H$28,"--",0)</f>
        <v>--</v>
      </c>
      <c r="X26" t="str">
        <f>_xlfn.XLOOKUP(G26,'Kraken Trades'!$A$2:$A$28,'Kraken Trades'!$I$2:$I$28,"--",0)</f>
        <v>--</v>
      </c>
      <c r="Y26" t="str">
        <f>_xlfn.XLOOKUP(G26,'Kraken Trades'!$A$2:$A$28,'Kraken Trades'!$J$2:$J$28,"--",0)</f>
        <v>--</v>
      </c>
      <c r="Z26" t="str">
        <f>_xlfn.XLOOKUP(G26,'Kraken Trades'!$A$2:$A$28,'Kraken Trades'!$K$2:$K$28,"--",0)</f>
        <v>--</v>
      </c>
      <c r="AA26" t="str">
        <f>_xlfn.XLOOKUP(G26,'Kraken Trades'!$A$2:$A$28,'Kraken Trades'!$L$2:$L$28,"--",0)</f>
        <v>--</v>
      </c>
      <c r="AB26" t="str">
        <f>_xlfn.XLOOKUP(G26,'Kraken Trades'!$A$2:$A$28,'Kraken Trades'!$M$2:$M$28,"--",0)</f>
        <v>--</v>
      </c>
    </row>
    <row r="27" spans="2:28" x14ac:dyDescent="0.15">
      <c r="B27" t="s">
        <v>104</v>
      </c>
      <c r="E27" t="str">
        <f>_xlfn.XLOOKUP(D27,'DEST TAGs'!$A$2:$A$5,'DEST TAGs'!$B$2:$B$5,"--",0)</f>
        <v>--</v>
      </c>
      <c r="F27" t="s">
        <v>139</v>
      </c>
      <c r="G27" t="s">
        <v>138</v>
      </c>
      <c r="H27" s="70">
        <v>44954.500694444447</v>
      </c>
      <c r="I27" t="s">
        <v>106</v>
      </c>
      <c r="K27" t="s">
        <v>107</v>
      </c>
      <c r="L27" t="s">
        <v>108</v>
      </c>
      <c r="M27">
        <v>175</v>
      </c>
      <c r="N27">
        <v>0</v>
      </c>
      <c r="O27">
        <v>176.4255</v>
      </c>
      <c r="P27" t="str">
        <f>_xlfn.XLOOKUP(G27,'Kraken Trades'!$A$2:$A$28,'Kraken Trades'!$A$2:$A$28,"--",0)</f>
        <v>--</v>
      </c>
      <c r="Q27" t="str">
        <f>_xlfn.XLOOKUP(G27,'Kraken Trades'!$A$2:$A$28,'Kraken Trades'!$B$2:$B$28,"--",0)</f>
        <v>--</v>
      </c>
      <c r="R27" t="str">
        <f>_xlfn.XLOOKUP(G27,'Kraken Trades'!$A$2:$A$28,'Kraken Trades'!$C$2:$C$28,"--",0)</f>
        <v>--</v>
      </c>
      <c r="S27" t="str">
        <f>_xlfn.XLOOKUP(G27,'Kraken Trades'!$A$2:$A$28,'Kraken Trades'!$D$2:$D$28,"--",0)</f>
        <v>--</v>
      </c>
      <c r="T27" t="str">
        <f>_xlfn.XLOOKUP(G27,'Kraken Trades'!$A$2:$A$28,'Kraken Trades'!$E$2:$E$28,"--",0)</f>
        <v>--</v>
      </c>
      <c r="U27" t="str">
        <f>_xlfn.XLOOKUP(G27,'Kraken Trades'!$A$2:$A$28,'Kraken Trades'!$F$2:$F$28,"--",0)</f>
        <v>--</v>
      </c>
      <c r="V27" t="str">
        <f>_xlfn.XLOOKUP(G27,'Kraken Trades'!$A$2:$A$28,'Kraken Trades'!$G$2:$G$28,"--",0)</f>
        <v>--</v>
      </c>
      <c r="W27" t="str">
        <f>_xlfn.XLOOKUP(G27,'Kraken Trades'!$A$2:$A$28,'Kraken Trades'!$H$2:$H$28,"--",0)</f>
        <v>--</v>
      </c>
      <c r="X27" t="str">
        <f>_xlfn.XLOOKUP(G27,'Kraken Trades'!$A$2:$A$28,'Kraken Trades'!$I$2:$I$28,"--",0)</f>
        <v>--</v>
      </c>
      <c r="Y27" t="str">
        <f>_xlfn.XLOOKUP(G27,'Kraken Trades'!$A$2:$A$28,'Kraken Trades'!$J$2:$J$28,"--",0)</f>
        <v>--</v>
      </c>
      <c r="Z27" t="str">
        <f>_xlfn.XLOOKUP(G27,'Kraken Trades'!$A$2:$A$28,'Kraken Trades'!$K$2:$K$28,"--",0)</f>
        <v>--</v>
      </c>
      <c r="AA27" t="str">
        <f>_xlfn.XLOOKUP(G27,'Kraken Trades'!$A$2:$A$28,'Kraken Trades'!$L$2:$L$28,"--",0)</f>
        <v>--</v>
      </c>
      <c r="AB27" t="str">
        <f>_xlfn.XLOOKUP(G27,'Kraken Trades'!$A$2:$A$28,'Kraken Trades'!$M$2:$M$28,"--",0)</f>
        <v>--</v>
      </c>
    </row>
    <row r="28" spans="2:28" x14ac:dyDescent="0.15">
      <c r="B28" t="s">
        <v>104</v>
      </c>
      <c r="E28" t="str">
        <f>_xlfn.XLOOKUP(D28,'DEST TAGs'!$A$2:$A$5,'DEST TAGs'!$B$2:$B$5,"--",0)</f>
        <v>--</v>
      </c>
      <c r="F28" t="s">
        <v>140</v>
      </c>
      <c r="G28" t="s">
        <v>141</v>
      </c>
      <c r="H28" s="70">
        <v>44954.504166666666</v>
      </c>
      <c r="I28" t="s">
        <v>112</v>
      </c>
      <c r="K28" t="s">
        <v>107</v>
      </c>
      <c r="L28" t="s">
        <v>108</v>
      </c>
      <c r="M28">
        <v>-175.38759999999999</v>
      </c>
      <c r="N28">
        <v>0</v>
      </c>
      <c r="O28">
        <v>1.0379</v>
      </c>
      <c r="P28" t="str">
        <f>_xlfn.XLOOKUP(G28,'Kraken Trades'!$A$2:$A$28,'Kraken Trades'!$A$2:$A$28,"--",0)</f>
        <v>TS6ESC-QJCTE-7REB62</v>
      </c>
      <c r="Q28" t="str">
        <f>_xlfn.XLOOKUP(G28,'Kraken Trades'!$A$2:$A$28,'Kraken Trades'!$B$2:$B$28,"--",0)</f>
        <v>OVMH6P-VMU7P-E44AOJ</v>
      </c>
      <c r="R28" t="str">
        <f>_xlfn.XLOOKUP(G28,'Kraken Trades'!$A$2:$A$28,'Kraken Trades'!$C$2:$C$28,"--",0)</f>
        <v>XRPGBP</v>
      </c>
      <c r="S28">
        <f>_xlfn.XLOOKUP(G28,'Kraken Trades'!$A$2:$A$28,'Kraken Trades'!$D$2:$D$28,"--",0)</f>
        <v>4.6458333333333325E-3</v>
      </c>
      <c r="T28" t="str">
        <f>_xlfn.XLOOKUP(G28,'Kraken Trades'!$A$2:$A$28,'Kraken Trades'!$E$2:$E$28,"--",0)</f>
        <v>buy</v>
      </c>
      <c r="U28" t="str">
        <f>_xlfn.XLOOKUP(G28,'Kraken Trades'!$A$2:$A$28,'Kraken Trades'!$F$2:$F$28,"--",0)</f>
        <v>market</v>
      </c>
      <c r="V28">
        <f>_xlfn.XLOOKUP(G28,'Kraken Trades'!$A$2:$A$28,'Kraken Trades'!$G$2:$G$28,"--",0)</f>
        <v>0.33091999999999999</v>
      </c>
      <c r="W28">
        <f>_xlfn.XLOOKUP(G28,'Kraken Trades'!$A$2:$A$28,'Kraken Trades'!$H$2:$H$28,"--",0)</f>
        <v>175.38759999999999</v>
      </c>
      <c r="X28">
        <f>_xlfn.XLOOKUP(G28,'Kraken Trades'!$A$2:$A$28,'Kraken Trades'!$I$2:$I$28,"--",0)</f>
        <v>0.45600775999999998</v>
      </c>
      <c r="Y28">
        <f>_xlfn.XLOOKUP(G28,'Kraken Trades'!$A$2:$A$28,'Kraken Trades'!$J$2:$J$28,"--",0)</f>
        <v>530</v>
      </c>
      <c r="Z28">
        <f>_xlfn.XLOOKUP(G28,'Kraken Trades'!$A$2:$A$28,'Kraken Trades'!$K$2:$K$28,"--",0)</f>
        <v>0</v>
      </c>
      <c r="AA28" t="str">
        <f>_xlfn.XLOOKUP(G28,'Kraken Trades'!$A$2:$A$28,'Kraken Trades'!$L$2:$L$28,"--",0)</f>
        <v>initiated</v>
      </c>
      <c r="AB28" t="str">
        <f>_xlfn.XLOOKUP(G28,'Kraken Trades'!$A$2:$A$28,'Kraken Trades'!$M$2:$M$28,"--",0)</f>
        <v>L7JNEK-NXJOR-PGHOYD,LKUCJL-B6QP6-HVTZSZ,LNTCL3-MS5IQ-JHFPLF</v>
      </c>
    </row>
    <row r="29" spans="2:28" x14ac:dyDescent="0.15">
      <c r="B29" t="s">
        <v>104</v>
      </c>
      <c r="E29" t="str">
        <f>_xlfn.XLOOKUP(D29,'DEST TAGs'!$A$2:$A$5,'DEST TAGs'!$B$2:$B$5,"--",0)</f>
        <v>--</v>
      </c>
      <c r="F29" t="s">
        <v>142</v>
      </c>
      <c r="G29" t="s">
        <v>141</v>
      </c>
      <c r="H29" s="70">
        <v>44954.504166666666</v>
      </c>
      <c r="I29" t="s">
        <v>112</v>
      </c>
      <c r="K29" t="s">
        <v>107</v>
      </c>
      <c r="L29" t="s">
        <v>114</v>
      </c>
      <c r="M29">
        <v>530</v>
      </c>
      <c r="N29">
        <v>0</v>
      </c>
      <c r="O29">
        <v>530.9294433</v>
      </c>
      <c r="P29" t="str">
        <f>_xlfn.XLOOKUP(G29,'Kraken Trades'!$A$2:$A$28,'Kraken Trades'!$A$2:$A$28,"--",0)</f>
        <v>TS6ESC-QJCTE-7REB62</v>
      </c>
      <c r="Q29" t="str">
        <f>_xlfn.XLOOKUP(G29,'Kraken Trades'!$A$2:$A$28,'Kraken Trades'!$B$2:$B$28,"--",0)</f>
        <v>OVMH6P-VMU7P-E44AOJ</v>
      </c>
      <c r="R29" t="str">
        <f>_xlfn.XLOOKUP(G29,'Kraken Trades'!$A$2:$A$28,'Kraken Trades'!$C$2:$C$28,"--",0)</f>
        <v>XRPGBP</v>
      </c>
      <c r="S29">
        <f>_xlfn.XLOOKUP(G29,'Kraken Trades'!$A$2:$A$28,'Kraken Trades'!$D$2:$D$28,"--",0)</f>
        <v>4.6458333333333325E-3</v>
      </c>
      <c r="T29" t="str">
        <f>_xlfn.XLOOKUP(G29,'Kraken Trades'!$A$2:$A$28,'Kraken Trades'!$E$2:$E$28,"--",0)</f>
        <v>buy</v>
      </c>
      <c r="U29" t="str">
        <f>_xlfn.XLOOKUP(G29,'Kraken Trades'!$A$2:$A$28,'Kraken Trades'!$F$2:$F$28,"--",0)</f>
        <v>market</v>
      </c>
      <c r="V29">
        <f>_xlfn.XLOOKUP(G29,'Kraken Trades'!$A$2:$A$28,'Kraken Trades'!$G$2:$G$28,"--",0)</f>
        <v>0.33091999999999999</v>
      </c>
      <c r="W29">
        <f>_xlfn.XLOOKUP(G29,'Kraken Trades'!$A$2:$A$28,'Kraken Trades'!$H$2:$H$28,"--",0)</f>
        <v>175.38759999999999</v>
      </c>
      <c r="X29">
        <f>_xlfn.XLOOKUP(G29,'Kraken Trades'!$A$2:$A$28,'Kraken Trades'!$I$2:$I$28,"--",0)</f>
        <v>0.45600775999999998</v>
      </c>
      <c r="Y29">
        <f>_xlfn.XLOOKUP(G29,'Kraken Trades'!$A$2:$A$28,'Kraken Trades'!$J$2:$J$28,"--",0)</f>
        <v>530</v>
      </c>
      <c r="Z29">
        <f>_xlfn.XLOOKUP(G29,'Kraken Trades'!$A$2:$A$28,'Kraken Trades'!$K$2:$K$28,"--",0)</f>
        <v>0</v>
      </c>
      <c r="AA29" t="str">
        <f>_xlfn.XLOOKUP(G29,'Kraken Trades'!$A$2:$A$28,'Kraken Trades'!$L$2:$L$28,"--",0)</f>
        <v>initiated</v>
      </c>
      <c r="AB29" t="str">
        <f>_xlfn.XLOOKUP(G29,'Kraken Trades'!$A$2:$A$28,'Kraken Trades'!$M$2:$M$28,"--",0)</f>
        <v>L7JNEK-NXJOR-PGHOYD,LKUCJL-B6QP6-HVTZSZ,LNTCL3-MS5IQ-JHFPLF</v>
      </c>
    </row>
    <row r="30" spans="2:28" x14ac:dyDescent="0.15">
      <c r="B30" t="s">
        <v>104</v>
      </c>
      <c r="E30" t="str">
        <f>_xlfn.XLOOKUP(D30,'DEST TAGs'!$A$2:$A$5,'DEST TAGs'!$B$2:$B$5,"--",0)</f>
        <v>--</v>
      </c>
      <c r="F30" t="s">
        <v>143</v>
      </c>
      <c r="G30" t="s">
        <v>141</v>
      </c>
      <c r="H30" s="70">
        <v>44954.504166666666</v>
      </c>
      <c r="I30" t="s">
        <v>112</v>
      </c>
      <c r="K30" t="s">
        <v>107</v>
      </c>
      <c r="L30" t="s">
        <v>116</v>
      </c>
      <c r="M30">
        <v>0</v>
      </c>
      <c r="N30">
        <v>56.51</v>
      </c>
      <c r="O30">
        <v>7485.19</v>
      </c>
      <c r="P30" t="str">
        <f>_xlfn.XLOOKUP(G30,'Kraken Trades'!$A$2:$A$28,'Kraken Trades'!$A$2:$A$28,"--",0)</f>
        <v>TS6ESC-QJCTE-7REB62</v>
      </c>
      <c r="Q30" t="str">
        <f>_xlfn.XLOOKUP(G30,'Kraken Trades'!$A$2:$A$28,'Kraken Trades'!$B$2:$B$28,"--",0)</f>
        <v>OVMH6P-VMU7P-E44AOJ</v>
      </c>
      <c r="R30" t="str">
        <f>_xlfn.XLOOKUP(G30,'Kraken Trades'!$A$2:$A$28,'Kraken Trades'!$C$2:$C$28,"--",0)</f>
        <v>XRPGBP</v>
      </c>
      <c r="S30">
        <f>_xlfn.XLOOKUP(G30,'Kraken Trades'!$A$2:$A$28,'Kraken Trades'!$D$2:$D$28,"--",0)</f>
        <v>4.6458333333333325E-3</v>
      </c>
      <c r="T30" t="str">
        <f>_xlfn.XLOOKUP(G30,'Kraken Trades'!$A$2:$A$28,'Kraken Trades'!$E$2:$E$28,"--",0)</f>
        <v>buy</v>
      </c>
      <c r="U30" t="str">
        <f>_xlfn.XLOOKUP(G30,'Kraken Trades'!$A$2:$A$28,'Kraken Trades'!$F$2:$F$28,"--",0)</f>
        <v>market</v>
      </c>
      <c r="V30">
        <f>_xlfn.XLOOKUP(G30,'Kraken Trades'!$A$2:$A$28,'Kraken Trades'!$G$2:$G$28,"--",0)</f>
        <v>0.33091999999999999</v>
      </c>
      <c r="W30">
        <f>_xlfn.XLOOKUP(G30,'Kraken Trades'!$A$2:$A$28,'Kraken Trades'!$H$2:$H$28,"--",0)</f>
        <v>175.38759999999999</v>
      </c>
      <c r="X30">
        <f>_xlfn.XLOOKUP(G30,'Kraken Trades'!$A$2:$A$28,'Kraken Trades'!$I$2:$I$28,"--",0)</f>
        <v>0.45600775999999998</v>
      </c>
      <c r="Y30">
        <f>_xlfn.XLOOKUP(G30,'Kraken Trades'!$A$2:$A$28,'Kraken Trades'!$J$2:$J$28,"--",0)</f>
        <v>530</v>
      </c>
      <c r="Z30">
        <f>_xlfn.XLOOKUP(G30,'Kraken Trades'!$A$2:$A$28,'Kraken Trades'!$K$2:$K$28,"--",0)</f>
        <v>0</v>
      </c>
      <c r="AA30" t="str">
        <f>_xlfn.XLOOKUP(G30,'Kraken Trades'!$A$2:$A$28,'Kraken Trades'!$L$2:$L$28,"--",0)</f>
        <v>initiated</v>
      </c>
      <c r="AB30" t="str">
        <f>_xlfn.XLOOKUP(G30,'Kraken Trades'!$A$2:$A$28,'Kraken Trades'!$M$2:$M$28,"--",0)</f>
        <v>L7JNEK-NXJOR-PGHOYD,LKUCJL-B6QP6-HVTZSZ,LNTCL3-MS5IQ-JHFPLF</v>
      </c>
    </row>
    <row r="31" spans="2:28" x14ac:dyDescent="0.15">
      <c r="B31" t="s">
        <v>104</v>
      </c>
      <c r="E31" t="str">
        <f>_xlfn.XLOOKUP(D31,'DEST TAGs'!$A$2:$A$5,'DEST TAGs'!$B$2:$B$5,"--",0)</f>
        <v>--</v>
      </c>
      <c r="G31" t="s">
        <v>144</v>
      </c>
      <c r="H31" s="70">
        <v>44954.504861111112</v>
      </c>
      <c r="I31" t="s">
        <v>118</v>
      </c>
      <c r="K31" t="s">
        <v>107</v>
      </c>
      <c r="L31" t="s">
        <v>114</v>
      </c>
      <c r="M31">
        <v>-530</v>
      </c>
      <c r="N31">
        <v>0.02</v>
      </c>
      <c r="P31" t="str">
        <f>_xlfn.XLOOKUP(G31,'Kraken Trades'!$A$2:$A$28,'Kraken Trades'!$A$2:$A$28,"--",0)</f>
        <v>--</v>
      </c>
      <c r="Q31" t="str">
        <f>_xlfn.XLOOKUP(G31,'Kraken Trades'!$A$2:$A$28,'Kraken Trades'!$B$2:$B$28,"--",0)</f>
        <v>--</v>
      </c>
      <c r="R31" t="str">
        <f>_xlfn.XLOOKUP(G31,'Kraken Trades'!$A$2:$A$28,'Kraken Trades'!$C$2:$C$28,"--",0)</f>
        <v>--</v>
      </c>
      <c r="S31" t="str">
        <f>_xlfn.XLOOKUP(G31,'Kraken Trades'!$A$2:$A$28,'Kraken Trades'!$D$2:$D$28,"--",0)</f>
        <v>--</v>
      </c>
      <c r="T31" t="str">
        <f>_xlfn.XLOOKUP(G31,'Kraken Trades'!$A$2:$A$28,'Kraken Trades'!$E$2:$E$28,"--",0)</f>
        <v>--</v>
      </c>
      <c r="U31" t="str">
        <f>_xlfn.XLOOKUP(G31,'Kraken Trades'!$A$2:$A$28,'Kraken Trades'!$F$2:$F$28,"--",0)</f>
        <v>--</v>
      </c>
      <c r="V31" t="str">
        <f>_xlfn.XLOOKUP(G31,'Kraken Trades'!$A$2:$A$28,'Kraken Trades'!$G$2:$G$28,"--",0)</f>
        <v>--</v>
      </c>
      <c r="W31" t="str">
        <f>_xlfn.XLOOKUP(G31,'Kraken Trades'!$A$2:$A$28,'Kraken Trades'!$H$2:$H$28,"--",0)</f>
        <v>--</v>
      </c>
      <c r="X31" t="str">
        <f>_xlfn.XLOOKUP(G31,'Kraken Trades'!$A$2:$A$28,'Kraken Trades'!$I$2:$I$28,"--",0)</f>
        <v>--</v>
      </c>
      <c r="Y31" t="str">
        <f>_xlfn.XLOOKUP(G31,'Kraken Trades'!$A$2:$A$28,'Kraken Trades'!$J$2:$J$28,"--",0)</f>
        <v>--</v>
      </c>
      <c r="Z31" t="str">
        <f>_xlfn.XLOOKUP(G31,'Kraken Trades'!$A$2:$A$28,'Kraken Trades'!$K$2:$K$28,"--",0)</f>
        <v>--</v>
      </c>
      <c r="AA31" t="str">
        <f>_xlfn.XLOOKUP(G31,'Kraken Trades'!$A$2:$A$28,'Kraken Trades'!$L$2:$L$28,"--",0)</f>
        <v>--</v>
      </c>
      <c r="AB31" t="str">
        <f>_xlfn.XLOOKUP(G31,'Kraken Trades'!$A$2:$A$28,'Kraken Trades'!$M$2:$M$28,"--",0)</f>
        <v>--</v>
      </c>
    </row>
    <row r="32" spans="2:28" x14ac:dyDescent="0.15">
      <c r="B32" t="s">
        <v>104</v>
      </c>
      <c r="E32" t="str">
        <f>_xlfn.XLOOKUP(D32,'DEST TAGs'!$A$2:$A$5,'DEST TAGs'!$B$2:$B$5,"--",0)</f>
        <v>--</v>
      </c>
      <c r="F32" t="s">
        <v>145</v>
      </c>
      <c r="G32" t="s">
        <v>144</v>
      </c>
      <c r="H32" s="70">
        <v>44954.506249999999</v>
      </c>
      <c r="I32" t="s">
        <v>118</v>
      </c>
      <c r="K32" t="s">
        <v>107</v>
      </c>
      <c r="L32" t="s">
        <v>114</v>
      </c>
      <c r="M32">
        <v>-530</v>
      </c>
      <c r="N32">
        <v>0.02</v>
      </c>
      <c r="O32">
        <v>0.90944334000000004</v>
      </c>
      <c r="P32" t="str">
        <f>_xlfn.XLOOKUP(G32,'Kraken Trades'!$A$2:$A$28,'Kraken Trades'!$A$2:$A$28,"--",0)</f>
        <v>--</v>
      </c>
      <c r="Q32" t="str">
        <f>_xlfn.XLOOKUP(G32,'Kraken Trades'!$A$2:$A$28,'Kraken Trades'!$B$2:$B$28,"--",0)</f>
        <v>--</v>
      </c>
      <c r="R32" t="str">
        <f>_xlfn.XLOOKUP(G32,'Kraken Trades'!$A$2:$A$28,'Kraken Trades'!$C$2:$C$28,"--",0)</f>
        <v>--</v>
      </c>
      <c r="S32" t="str">
        <f>_xlfn.XLOOKUP(G32,'Kraken Trades'!$A$2:$A$28,'Kraken Trades'!$D$2:$D$28,"--",0)</f>
        <v>--</v>
      </c>
      <c r="T32" t="str">
        <f>_xlfn.XLOOKUP(G32,'Kraken Trades'!$A$2:$A$28,'Kraken Trades'!$E$2:$E$28,"--",0)</f>
        <v>--</v>
      </c>
      <c r="U32" t="str">
        <f>_xlfn.XLOOKUP(G32,'Kraken Trades'!$A$2:$A$28,'Kraken Trades'!$F$2:$F$28,"--",0)</f>
        <v>--</v>
      </c>
      <c r="V32" t="str">
        <f>_xlfn.XLOOKUP(G32,'Kraken Trades'!$A$2:$A$28,'Kraken Trades'!$G$2:$G$28,"--",0)</f>
        <v>--</v>
      </c>
      <c r="W32" t="str">
        <f>_xlfn.XLOOKUP(G32,'Kraken Trades'!$A$2:$A$28,'Kraken Trades'!$H$2:$H$28,"--",0)</f>
        <v>--</v>
      </c>
      <c r="X32" t="str">
        <f>_xlfn.XLOOKUP(G32,'Kraken Trades'!$A$2:$A$28,'Kraken Trades'!$I$2:$I$28,"--",0)</f>
        <v>--</v>
      </c>
      <c r="Y32" t="str">
        <f>_xlfn.XLOOKUP(G32,'Kraken Trades'!$A$2:$A$28,'Kraken Trades'!$J$2:$J$28,"--",0)</f>
        <v>--</v>
      </c>
      <c r="Z32" t="str">
        <f>_xlfn.XLOOKUP(G32,'Kraken Trades'!$A$2:$A$28,'Kraken Trades'!$K$2:$K$28,"--",0)</f>
        <v>--</v>
      </c>
      <c r="AA32" t="str">
        <f>_xlfn.XLOOKUP(G32,'Kraken Trades'!$A$2:$A$28,'Kraken Trades'!$L$2:$L$28,"--",0)</f>
        <v>--</v>
      </c>
      <c r="AB32" t="str">
        <f>_xlfn.XLOOKUP(G32,'Kraken Trades'!$A$2:$A$28,'Kraken Trades'!$M$2:$M$28,"--",0)</f>
        <v>--</v>
      </c>
    </row>
    <row r="33" spans="2:28" x14ac:dyDescent="0.15">
      <c r="B33" t="s">
        <v>104</v>
      </c>
      <c r="E33" t="str">
        <f>_xlfn.XLOOKUP(D33,'DEST TAGs'!$A$2:$A$5,'DEST TAGs'!$B$2:$B$5,"--",0)</f>
        <v>--</v>
      </c>
      <c r="G33" t="s">
        <v>146</v>
      </c>
      <c r="H33" s="70">
        <v>44971.646527777775</v>
      </c>
      <c r="I33" t="s">
        <v>106</v>
      </c>
      <c r="K33" t="s">
        <v>107</v>
      </c>
      <c r="L33" t="s">
        <v>108</v>
      </c>
      <c r="M33">
        <v>675</v>
      </c>
      <c r="N33">
        <v>0</v>
      </c>
      <c r="P33" t="str">
        <f>_xlfn.XLOOKUP(G33,'Kraken Trades'!$A$2:$A$28,'Kraken Trades'!$A$2:$A$28,"--",0)</f>
        <v>--</v>
      </c>
      <c r="Q33" t="str">
        <f>_xlfn.XLOOKUP(G33,'Kraken Trades'!$A$2:$A$28,'Kraken Trades'!$B$2:$B$28,"--",0)</f>
        <v>--</v>
      </c>
      <c r="R33" t="str">
        <f>_xlfn.XLOOKUP(G33,'Kraken Trades'!$A$2:$A$28,'Kraken Trades'!$C$2:$C$28,"--",0)</f>
        <v>--</v>
      </c>
      <c r="S33" t="str">
        <f>_xlfn.XLOOKUP(G33,'Kraken Trades'!$A$2:$A$28,'Kraken Trades'!$D$2:$D$28,"--",0)</f>
        <v>--</v>
      </c>
      <c r="T33" t="str">
        <f>_xlfn.XLOOKUP(G33,'Kraken Trades'!$A$2:$A$28,'Kraken Trades'!$E$2:$E$28,"--",0)</f>
        <v>--</v>
      </c>
      <c r="U33" t="str">
        <f>_xlfn.XLOOKUP(G33,'Kraken Trades'!$A$2:$A$28,'Kraken Trades'!$F$2:$F$28,"--",0)</f>
        <v>--</v>
      </c>
      <c r="V33" t="str">
        <f>_xlfn.XLOOKUP(G33,'Kraken Trades'!$A$2:$A$28,'Kraken Trades'!$G$2:$G$28,"--",0)</f>
        <v>--</v>
      </c>
      <c r="W33" t="str">
        <f>_xlfn.XLOOKUP(G33,'Kraken Trades'!$A$2:$A$28,'Kraken Trades'!$H$2:$H$28,"--",0)</f>
        <v>--</v>
      </c>
      <c r="X33" t="str">
        <f>_xlfn.XLOOKUP(G33,'Kraken Trades'!$A$2:$A$28,'Kraken Trades'!$I$2:$I$28,"--",0)</f>
        <v>--</v>
      </c>
      <c r="Y33" t="str">
        <f>_xlfn.XLOOKUP(G33,'Kraken Trades'!$A$2:$A$28,'Kraken Trades'!$J$2:$J$28,"--",0)</f>
        <v>--</v>
      </c>
      <c r="Z33" t="str">
        <f>_xlfn.XLOOKUP(G33,'Kraken Trades'!$A$2:$A$28,'Kraken Trades'!$K$2:$K$28,"--",0)</f>
        <v>--</v>
      </c>
      <c r="AA33" t="str">
        <f>_xlfn.XLOOKUP(G33,'Kraken Trades'!$A$2:$A$28,'Kraken Trades'!$L$2:$L$28,"--",0)</f>
        <v>--</v>
      </c>
      <c r="AB33" t="str">
        <f>_xlfn.XLOOKUP(G33,'Kraken Trades'!$A$2:$A$28,'Kraken Trades'!$M$2:$M$28,"--",0)</f>
        <v>--</v>
      </c>
    </row>
    <row r="34" spans="2:28" x14ac:dyDescent="0.15">
      <c r="B34" t="s">
        <v>104</v>
      </c>
      <c r="E34" t="str">
        <f>_xlfn.XLOOKUP(D34,'DEST TAGs'!$A$2:$A$5,'DEST TAGs'!$B$2:$B$5,"--",0)</f>
        <v>--</v>
      </c>
      <c r="F34" t="s">
        <v>147</v>
      </c>
      <c r="G34" t="s">
        <v>146</v>
      </c>
      <c r="H34" s="70">
        <v>44971.688194444447</v>
      </c>
      <c r="I34" t="s">
        <v>106</v>
      </c>
      <c r="K34" t="s">
        <v>107</v>
      </c>
      <c r="L34" t="s">
        <v>108</v>
      </c>
      <c r="M34">
        <v>675</v>
      </c>
      <c r="N34">
        <v>0</v>
      </c>
      <c r="O34">
        <v>676.03790000000004</v>
      </c>
      <c r="P34" t="str">
        <f>_xlfn.XLOOKUP(G34,'Kraken Trades'!$A$2:$A$28,'Kraken Trades'!$A$2:$A$28,"--",0)</f>
        <v>--</v>
      </c>
      <c r="Q34" t="str">
        <f>_xlfn.XLOOKUP(G34,'Kraken Trades'!$A$2:$A$28,'Kraken Trades'!$B$2:$B$28,"--",0)</f>
        <v>--</v>
      </c>
      <c r="R34" t="str">
        <f>_xlfn.XLOOKUP(G34,'Kraken Trades'!$A$2:$A$28,'Kraken Trades'!$C$2:$C$28,"--",0)</f>
        <v>--</v>
      </c>
      <c r="S34" t="str">
        <f>_xlfn.XLOOKUP(G34,'Kraken Trades'!$A$2:$A$28,'Kraken Trades'!$D$2:$D$28,"--",0)</f>
        <v>--</v>
      </c>
      <c r="T34" t="str">
        <f>_xlfn.XLOOKUP(G34,'Kraken Trades'!$A$2:$A$28,'Kraken Trades'!$E$2:$E$28,"--",0)</f>
        <v>--</v>
      </c>
      <c r="U34" t="str">
        <f>_xlfn.XLOOKUP(G34,'Kraken Trades'!$A$2:$A$28,'Kraken Trades'!$F$2:$F$28,"--",0)</f>
        <v>--</v>
      </c>
      <c r="V34" t="str">
        <f>_xlfn.XLOOKUP(G34,'Kraken Trades'!$A$2:$A$28,'Kraken Trades'!$G$2:$G$28,"--",0)</f>
        <v>--</v>
      </c>
      <c r="W34" t="str">
        <f>_xlfn.XLOOKUP(G34,'Kraken Trades'!$A$2:$A$28,'Kraken Trades'!$H$2:$H$28,"--",0)</f>
        <v>--</v>
      </c>
      <c r="X34" t="str">
        <f>_xlfn.XLOOKUP(G34,'Kraken Trades'!$A$2:$A$28,'Kraken Trades'!$I$2:$I$28,"--",0)</f>
        <v>--</v>
      </c>
      <c r="Y34" t="str">
        <f>_xlfn.XLOOKUP(G34,'Kraken Trades'!$A$2:$A$28,'Kraken Trades'!$J$2:$J$28,"--",0)</f>
        <v>--</v>
      </c>
      <c r="Z34" t="str">
        <f>_xlfn.XLOOKUP(G34,'Kraken Trades'!$A$2:$A$28,'Kraken Trades'!$K$2:$K$28,"--",0)</f>
        <v>--</v>
      </c>
      <c r="AA34" t="str">
        <f>_xlfn.XLOOKUP(G34,'Kraken Trades'!$A$2:$A$28,'Kraken Trades'!$L$2:$L$28,"--",0)</f>
        <v>--</v>
      </c>
      <c r="AB34" t="str">
        <f>_xlfn.XLOOKUP(G34,'Kraken Trades'!$A$2:$A$28,'Kraken Trades'!$M$2:$M$28,"--",0)</f>
        <v>--</v>
      </c>
    </row>
    <row r="35" spans="2:28" x14ac:dyDescent="0.15">
      <c r="B35" t="s">
        <v>104</v>
      </c>
      <c r="E35" t="str">
        <f>_xlfn.XLOOKUP(D35,'DEST TAGs'!$A$2:$A$5,'DEST TAGs'!$B$2:$B$5,"--",0)</f>
        <v>--</v>
      </c>
      <c r="F35" t="s">
        <v>148</v>
      </c>
      <c r="G35" t="s">
        <v>149</v>
      </c>
      <c r="H35" s="70">
        <v>44971.699305555558</v>
      </c>
      <c r="I35" t="s">
        <v>112</v>
      </c>
      <c r="K35" t="s">
        <v>107</v>
      </c>
      <c r="L35" t="s">
        <v>108</v>
      </c>
      <c r="M35">
        <v>-675.476</v>
      </c>
      <c r="N35">
        <v>0</v>
      </c>
      <c r="O35">
        <v>0.56189999999999996</v>
      </c>
      <c r="P35" t="str">
        <f>_xlfn.XLOOKUP(G35,'Kraken Trades'!$A$2:$A$28,'Kraken Trades'!$A$2:$A$28,"--",0)</f>
        <v>T2M2QR-PKI5J-Y5JL6X</v>
      </c>
      <c r="Q35" t="str">
        <f>_xlfn.XLOOKUP(G35,'Kraken Trades'!$A$2:$A$28,'Kraken Trades'!$B$2:$B$28,"--",0)</f>
        <v>OZ72GI-QOAPH-LJIKPV</v>
      </c>
      <c r="R35" t="str">
        <f>_xlfn.XLOOKUP(G35,'Kraken Trades'!$A$2:$A$28,'Kraken Trades'!$C$2:$C$28,"--",0)</f>
        <v>XRPGBP</v>
      </c>
      <c r="S35">
        <f>_xlfn.XLOOKUP(G35,'Kraken Trades'!$A$2:$A$28,'Kraken Trades'!$D$2:$D$28,"--",0)</f>
        <v>3.3187500000000002E-2</v>
      </c>
      <c r="T35" t="str">
        <f>_xlfn.XLOOKUP(G35,'Kraken Trades'!$A$2:$A$28,'Kraken Trades'!$E$2:$E$28,"--",0)</f>
        <v>buy</v>
      </c>
      <c r="U35" t="str">
        <f>_xlfn.XLOOKUP(G35,'Kraken Trades'!$A$2:$A$28,'Kraken Trades'!$F$2:$F$28,"--",0)</f>
        <v>market</v>
      </c>
      <c r="V35">
        <f>_xlfn.XLOOKUP(G35,'Kraken Trades'!$A$2:$A$28,'Kraken Trades'!$G$2:$G$28,"--",0)</f>
        <v>0.30773391999999999</v>
      </c>
      <c r="W35">
        <f>_xlfn.XLOOKUP(G35,'Kraken Trades'!$A$2:$A$28,'Kraken Trades'!$H$2:$H$28,"--",0)</f>
        <v>675.47595850000005</v>
      </c>
      <c r="X35">
        <f>_xlfn.XLOOKUP(G35,'Kraken Trades'!$A$2:$A$28,'Kraken Trades'!$I$2:$I$28,"--",0)</f>
        <v>1.75623749</v>
      </c>
      <c r="Y35">
        <f>_xlfn.XLOOKUP(G35,'Kraken Trades'!$A$2:$A$28,'Kraken Trades'!$J$2:$J$28,"--",0)</f>
        <v>2195</v>
      </c>
      <c r="Z35">
        <f>_xlfn.XLOOKUP(G35,'Kraken Trades'!$A$2:$A$28,'Kraken Trades'!$K$2:$K$28,"--",0)</f>
        <v>0</v>
      </c>
      <c r="AA35" t="str">
        <f>_xlfn.XLOOKUP(G35,'Kraken Trades'!$A$2:$A$28,'Kraken Trades'!$L$2:$L$28,"--",0)</f>
        <v>initiated</v>
      </c>
      <c r="AB35" t="str">
        <f>_xlfn.XLOOKUP(G35,'Kraken Trades'!$A$2:$A$28,'Kraken Trades'!$M$2:$M$28,"--",0)</f>
        <v>LZGQC7-CBHKO-BKBP4U,LWHU3C-IQK4G-3GOKIF,LP4NHA-4C2MD-2TNAQM</v>
      </c>
    </row>
    <row r="36" spans="2:28" x14ac:dyDescent="0.15">
      <c r="B36" t="s">
        <v>104</v>
      </c>
      <c r="E36" t="str">
        <f>_xlfn.XLOOKUP(D36,'DEST TAGs'!$A$2:$A$5,'DEST TAGs'!$B$2:$B$5,"--",0)</f>
        <v>--</v>
      </c>
      <c r="F36" t="s">
        <v>150</v>
      </c>
      <c r="G36" t="s">
        <v>149</v>
      </c>
      <c r="H36" s="70">
        <v>44971.699305555558</v>
      </c>
      <c r="I36" t="s">
        <v>112</v>
      </c>
      <c r="K36" t="s">
        <v>107</v>
      </c>
      <c r="L36" t="s">
        <v>114</v>
      </c>
      <c r="M36">
        <v>2195</v>
      </c>
      <c r="N36">
        <v>0</v>
      </c>
      <c r="O36">
        <v>2195.909443</v>
      </c>
      <c r="P36" t="str">
        <f>_xlfn.XLOOKUP(G36,'Kraken Trades'!$A$2:$A$28,'Kraken Trades'!$A$2:$A$28,"--",0)</f>
        <v>T2M2QR-PKI5J-Y5JL6X</v>
      </c>
      <c r="Q36" t="str">
        <f>_xlfn.XLOOKUP(G36,'Kraken Trades'!$A$2:$A$28,'Kraken Trades'!$B$2:$B$28,"--",0)</f>
        <v>OZ72GI-QOAPH-LJIKPV</v>
      </c>
      <c r="R36" t="str">
        <f>_xlfn.XLOOKUP(G36,'Kraken Trades'!$A$2:$A$28,'Kraken Trades'!$C$2:$C$28,"--",0)</f>
        <v>XRPGBP</v>
      </c>
      <c r="S36">
        <f>_xlfn.XLOOKUP(G36,'Kraken Trades'!$A$2:$A$28,'Kraken Trades'!$D$2:$D$28,"--",0)</f>
        <v>3.3187500000000002E-2</v>
      </c>
      <c r="T36" t="str">
        <f>_xlfn.XLOOKUP(G36,'Kraken Trades'!$A$2:$A$28,'Kraken Trades'!$E$2:$E$28,"--",0)</f>
        <v>buy</v>
      </c>
      <c r="U36" t="str">
        <f>_xlfn.XLOOKUP(G36,'Kraken Trades'!$A$2:$A$28,'Kraken Trades'!$F$2:$F$28,"--",0)</f>
        <v>market</v>
      </c>
      <c r="V36">
        <f>_xlfn.XLOOKUP(G36,'Kraken Trades'!$A$2:$A$28,'Kraken Trades'!$G$2:$G$28,"--",0)</f>
        <v>0.30773391999999999</v>
      </c>
      <c r="W36">
        <f>_xlfn.XLOOKUP(G36,'Kraken Trades'!$A$2:$A$28,'Kraken Trades'!$H$2:$H$28,"--",0)</f>
        <v>675.47595850000005</v>
      </c>
      <c r="X36">
        <f>_xlfn.XLOOKUP(G36,'Kraken Trades'!$A$2:$A$28,'Kraken Trades'!$I$2:$I$28,"--",0)</f>
        <v>1.75623749</v>
      </c>
      <c r="Y36">
        <f>_xlfn.XLOOKUP(G36,'Kraken Trades'!$A$2:$A$28,'Kraken Trades'!$J$2:$J$28,"--",0)</f>
        <v>2195</v>
      </c>
      <c r="Z36">
        <f>_xlfn.XLOOKUP(G36,'Kraken Trades'!$A$2:$A$28,'Kraken Trades'!$K$2:$K$28,"--",0)</f>
        <v>0</v>
      </c>
      <c r="AA36" t="str">
        <f>_xlfn.XLOOKUP(G36,'Kraken Trades'!$A$2:$A$28,'Kraken Trades'!$L$2:$L$28,"--",0)</f>
        <v>initiated</v>
      </c>
      <c r="AB36" t="str">
        <f>_xlfn.XLOOKUP(G36,'Kraken Trades'!$A$2:$A$28,'Kraken Trades'!$M$2:$M$28,"--",0)</f>
        <v>LZGQC7-CBHKO-BKBP4U,LWHU3C-IQK4G-3GOKIF,LP4NHA-4C2MD-2TNAQM</v>
      </c>
    </row>
    <row r="37" spans="2:28" x14ac:dyDescent="0.15">
      <c r="B37" t="s">
        <v>104</v>
      </c>
      <c r="E37" t="str">
        <f>_xlfn.XLOOKUP(D37,'DEST TAGs'!$A$2:$A$5,'DEST TAGs'!$B$2:$B$5,"--",0)</f>
        <v>--</v>
      </c>
      <c r="F37" t="s">
        <v>151</v>
      </c>
      <c r="G37" t="s">
        <v>149</v>
      </c>
      <c r="H37" s="70">
        <v>44971.699305555558</v>
      </c>
      <c r="I37" t="s">
        <v>112</v>
      </c>
      <c r="K37" t="s">
        <v>107</v>
      </c>
      <c r="L37" t="s">
        <v>116</v>
      </c>
      <c r="M37">
        <v>0</v>
      </c>
      <c r="N37">
        <v>213.46</v>
      </c>
      <c r="O37">
        <v>7271.73</v>
      </c>
      <c r="P37" t="str">
        <f>_xlfn.XLOOKUP(G37,'Kraken Trades'!$A$2:$A$28,'Kraken Trades'!$A$2:$A$28,"--",0)</f>
        <v>T2M2QR-PKI5J-Y5JL6X</v>
      </c>
      <c r="Q37" t="str">
        <f>_xlfn.XLOOKUP(G37,'Kraken Trades'!$A$2:$A$28,'Kraken Trades'!$B$2:$B$28,"--",0)</f>
        <v>OZ72GI-QOAPH-LJIKPV</v>
      </c>
      <c r="R37" t="str">
        <f>_xlfn.XLOOKUP(G37,'Kraken Trades'!$A$2:$A$28,'Kraken Trades'!$C$2:$C$28,"--",0)</f>
        <v>XRPGBP</v>
      </c>
      <c r="S37">
        <f>_xlfn.XLOOKUP(G37,'Kraken Trades'!$A$2:$A$28,'Kraken Trades'!$D$2:$D$28,"--",0)</f>
        <v>3.3187500000000002E-2</v>
      </c>
      <c r="T37" t="str">
        <f>_xlfn.XLOOKUP(G37,'Kraken Trades'!$A$2:$A$28,'Kraken Trades'!$E$2:$E$28,"--",0)</f>
        <v>buy</v>
      </c>
      <c r="U37" t="str">
        <f>_xlfn.XLOOKUP(G37,'Kraken Trades'!$A$2:$A$28,'Kraken Trades'!$F$2:$F$28,"--",0)</f>
        <v>market</v>
      </c>
      <c r="V37">
        <f>_xlfn.XLOOKUP(G37,'Kraken Trades'!$A$2:$A$28,'Kraken Trades'!$G$2:$G$28,"--",0)</f>
        <v>0.30773391999999999</v>
      </c>
      <c r="W37">
        <f>_xlfn.XLOOKUP(G37,'Kraken Trades'!$A$2:$A$28,'Kraken Trades'!$H$2:$H$28,"--",0)</f>
        <v>675.47595850000005</v>
      </c>
      <c r="X37">
        <f>_xlfn.XLOOKUP(G37,'Kraken Trades'!$A$2:$A$28,'Kraken Trades'!$I$2:$I$28,"--",0)</f>
        <v>1.75623749</v>
      </c>
      <c r="Y37">
        <f>_xlfn.XLOOKUP(G37,'Kraken Trades'!$A$2:$A$28,'Kraken Trades'!$J$2:$J$28,"--",0)</f>
        <v>2195</v>
      </c>
      <c r="Z37">
        <f>_xlfn.XLOOKUP(G37,'Kraken Trades'!$A$2:$A$28,'Kraken Trades'!$K$2:$K$28,"--",0)</f>
        <v>0</v>
      </c>
      <c r="AA37" t="str">
        <f>_xlfn.XLOOKUP(G37,'Kraken Trades'!$A$2:$A$28,'Kraken Trades'!$L$2:$L$28,"--",0)</f>
        <v>initiated</v>
      </c>
      <c r="AB37" t="str">
        <f>_xlfn.XLOOKUP(G37,'Kraken Trades'!$A$2:$A$28,'Kraken Trades'!$M$2:$M$28,"--",0)</f>
        <v>LZGQC7-CBHKO-BKBP4U,LWHU3C-IQK4G-3GOKIF,LP4NHA-4C2MD-2TNAQM</v>
      </c>
    </row>
    <row r="38" spans="2:28" x14ac:dyDescent="0.15">
      <c r="B38" t="s">
        <v>104</v>
      </c>
      <c r="E38" t="str">
        <f>_xlfn.XLOOKUP(D38,'DEST TAGs'!$A$2:$A$5,'DEST TAGs'!$B$2:$B$5,"--",0)</f>
        <v>--</v>
      </c>
      <c r="G38" t="s">
        <v>152</v>
      </c>
      <c r="H38" s="70">
        <v>44971.7</v>
      </c>
      <c r="I38" t="s">
        <v>118</v>
      </c>
      <c r="K38" t="s">
        <v>107</v>
      </c>
      <c r="L38" t="s">
        <v>114</v>
      </c>
      <c r="M38">
        <v>-2195</v>
      </c>
      <c r="N38">
        <v>0.02</v>
      </c>
      <c r="P38" t="str">
        <f>_xlfn.XLOOKUP(G38,'Kraken Trades'!$A$2:$A$28,'Kraken Trades'!$A$2:$A$28,"--",0)</f>
        <v>--</v>
      </c>
      <c r="Q38" t="str">
        <f>_xlfn.XLOOKUP(G38,'Kraken Trades'!$A$2:$A$28,'Kraken Trades'!$B$2:$B$28,"--",0)</f>
        <v>--</v>
      </c>
      <c r="R38" t="str">
        <f>_xlfn.XLOOKUP(G38,'Kraken Trades'!$A$2:$A$28,'Kraken Trades'!$C$2:$C$28,"--",0)</f>
        <v>--</v>
      </c>
      <c r="S38" t="str">
        <f>_xlfn.XLOOKUP(G38,'Kraken Trades'!$A$2:$A$28,'Kraken Trades'!$D$2:$D$28,"--",0)</f>
        <v>--</v>
      </c>
      <c r="T38" t="str">
        <f>_xlfn.XLOOKUP(G38,'Kraken Trades'!$A$2:$A$28,'Kraken Trades'!$E$2:$E$28,"--",0)</f>
        <v>--</v>
      </c>
      <c r="U38" t="str">
        <f>_xlfn.XLOOKUP(G38,'Kraken Trades'!$A$2:$A$28,'Kraken Trades'!$F$2:$F$28,"--",0)</f>
        <v>--</v>
      </c>
      <c r="V38" t="str">
        <f>_xlfn.XLOOKUP(G38,'Kraken Trades'!$A$2:$A$28,'Kraken Trades'!$G$2:$G$28,"--",0)</f>
        <v>--</v>
      </c>
      <c r="W38" t="str">
        <f>_xlfn.XLOOKUP(G38,'Kraken Trades'!$A$2:$A$28,'Kraken Trades'!$H$2:$H$28,"--",0)</f>
        <v>--</v>
      </c>
      <c r="X38" t="str">
        <f>_xlfn.XLOOKUP(G38,'Kraken Trades'!$A$2:$A$28,'Kraken Trades'!$I$2:$I$28,"--",0)</f>
        <v>--</v>
      </c>
      <c r="Y38" t="str">
        <f>_xlfn.XLOOKUP(G38,'Kraken Trades'!$A$2:$A$28,'Kraken Trades'!$J$2:$J$28,"--",0)</f>
        <v>--</v>
      </c>
      <c r="Z38" t="str">
        <f>_xlfn.XLOOKUP(G38,'Kraken Trades'!$A$2:$A$28,'Kraken Trades'!$K$2:$K$28,"--",0)</f>
        <v>--</v>
      </c>
      <c r="AA38" t="str">
        <f>_xlfn.XLOOKUP(G38,'Kraken Trades'!$A$2:$A$28,'Kraken Trades'!$L$2:$L$28,"--",0)</f>
        <v>--</v>
      </c>
      <c r="AB38" t="str">
        <f>_xlfn.XLOOKUP(G38,'Kraken Trades'!$A$2:$A$28,'Kraken Trades'!$M$2:$M$28,"--",0)</f>
        <v>--</v>
      </c>
    </row>
    <row r="39" spans="2:28" x14ac:dyDescent="0.15">
      <c r="B39" t="s">
        <v>104</v>
      </c>
      <c r="E39" t="str">
        <f>_xlfn.XLOOKUP(D39,'DEST TAGs'!$A$2:$A$5,'DEST TAGs'!$B$2:$B$5,"--",0)</f>
        <v>--</v>
      </c>
      <c r="F39" t="s">
        <v>153</v>
      </c>
      <c r="G39" t="s">
        <v>152</v>
      </c>
      <c r="H39" s="70">
        <v>44971.701388888891</v>
      </c>
      <c r="I39" t="s">
        <v>118</v>
      </c>
      <c r="K39" t="s">
        <v>107</v>
      </c>
      <c r="L39" t="s">
        <v>114</v>
      </c>
      <c r="M39">
        <v>-2195</v>
      </c>
      <c r="N39">
        <v>0.02</v>
      </c>
      <c r="O39">
        <v>0.88944334000000003</v>
      </c>
      <c r="P39" t="str">
        <f>_xlfn.XLOOKUP(G39,'Kraken Trades'!$A$2:$A$28,'Kraken Trades'!$A$2:$A$28,"--",0)</f>
        <v>--</v>
      </c>
      <c r="Q39" t="str">
        <f>_xlfn.XLOOKUP(G39,'Kraken Trades'!$A$2:$A$28,'Kraken Trades'!$B$2:$B$28,"--",0)</f>
        <v>--</v>
      </c>
      <c r="R39" t="str">
        <f>_xlfn.XLOOKUP(G39,'Kraken Trades'!$A$2:$A$28,'Kraken Trades'!$C$2:$C$28,"--",0)</f>
        <v>--</v>
      </c>
      <c r="S39" t="str">
        <f>_xlfn.XLOOKUP(G39,'Kraken Trades'!$A$2:$A$28,'Kraken Trades'!$D$2:$D$28,"--",0)</f>
        <v>--</v>
      </c>
      <c r="T39" t="str">
        <f>_xlfn.XLOOKUP(G39,'Kraken Trades'!$A$2:$A$28,'Kraken Trades'!$E$2:$E$28,"--",0)</f>
        <v>--</v>
      </c>
      <c r="U39" t="str">
        <f>_xlfn.XLOOKUP(G39,'Kraken Trades'!$A$2:$A$28,'Kraken Trades'!$F$2:$F$28,"--",0)</f>
        <v>--</v>
      </c>
      <c r="V39" t="str">
        <f>_xlfn.XLOOKUP(G39,'Kraken Trades'!$A$2:$A$28,'Kraken Trades'!$G$2:$G$28,"--",0)</f>
        <v>--</v>
      </c>
      <c r="W39" t="str">
        <f>_xlfn.XLOOKUP(G39,'Kraken Trades'!$A$2:$A$28,'Kraken Trades'!$H$2:$H$28,"--",0)</f>
        <v>--</v>
      </c>
      <c r="X39" t="str">
        <f>_xlfn.XLOOKUP(G39,'Kraken Trades'!$A$2:$A$28,'Kraken Trades'!$I$2:$I$28,"--",0)</f>
        <v>--</v>
      </c>
      <c r="Y39" t="str">
        <f>_xlfn.XLOOKUP(G39,'Kraken Trades'!$A$2:$A$28,'Kraken Trades'!$J$2:$J$28,"--",0)</f>
        <v>--</v>
      </c>
      <c r="Z39" t="str">
        <f>_xlfn.XLOOKUP(G39,'Kraken Trades'!$A$2:$A$28,'Kraken Trades'!$K$2:$K$28,"--",0)</f>
        <v>--</v>
      </c>
      <c r="AA39" t="str">
        <f>_xlfn.XLOOKUP(G39,'Kraken Trades'!$A$2:$A$28,'Kraken Trades'!$L$2:$L$28,"--",0)</f>
        <v>--</v>
      </c>
      <c r="AB39" t="str">
        <f>_xlfn.XLOOKUP(G39,'Kraken Trades'!$A$2:$A$28,'Kraken Trades'!$M$2:$M$28,"--",0)</f>
        <v>--</v>
      </c>
    </row>
    <row r="40" spans="2:28" x14ac:dyDescent="0.15">
      <c r="B40" t="s">
        <v>104</v>
      </c>
      <c r="E40" t="str">
        <f>_xlfn.XLOOKUP(D40,'DEST TAGs'!$A$2:$A$5,'DEST TAGs'!$B$2:$B$5,"--",0)</f>
        <v>--</v>
      </c>
      <c r="G40" t="s">
        <v>154</v>
      </c>
      <c r="H40" s="70">
        <v>44986.365972222222</v>
      </c>
      <c r="I40" t="s">
        <v>106</v>
      </c>
      <c r="K40" t="s">
        <v>107</v>
      </c>
      <c r="L40" t="s">
        <v>108</v>
      </c>
      <c r="M40">
        <v>450</v>
      </c>
      <c r="N40">
        <v>0</v>
      </c>
      <c r="P40" t="str">
        <f>_xlfn.XLOOKUP(G40,'Kraken Trades'!$A$2:$A$28,'Kraken Trades'!$A$2:$A$28,"--",0)</f>
        <v>--</v>
      </c>
      <c r="Q40" t="str">
        <f>_xlfn.XLOOKUP(G40,'Kraken Trades'!$A$2:$A$28,'Kraken Trades'!$B$2:$B$28,"--",0)</f>
        <v>--</v>
      </c>
      <c r="R40" t="str">
        <f>_xlfn.XLOOKUP(G40,'Kraken Trades'!$A$2:$A$28,'Kraken Trades'!$C$2:$C$28,"--",0)</f>
        <v>--</v>
      </c>
      <c r="S40" t="str">
        <f>_xlfn.XLOOKUP(G40,'Kraken Trades'!$A$2:$A$28,'Kraken Trades'!$D$2:$D$28,"--",0)</f>
        <v>--</v>
      </c>
      <c r="T40" t="str">
        <f>_xlfn.XLOOKUP(G40,'Kraken Trades'!$A$2:$A$28,'Kraken Trades'!$E$2:$E$28,"--",0)</f>
        <v>--</v>
      </c>
      <c r="U40" t="str">
        <f>_xlfn.XLOOKUP(G40,'Kraken Trades'!$A$2:$A$28,'Kraken Trades'!$F$2:$F$28,"--",0)</f>
        <v>--</v>
      </c>
      <c r="V40" t="str">
        <f>_xlfn.XLOOKUP(G40,'Kraken Trades'!$A$2:$A$28,'Kraken Trades'!$G$2:$G$28,"--",0)</f>
        <v>--</v>
      </c>
      <c r="W40" t="str">
        <f>_xlfn.XLOOKUP(G40,'Kraken Trades'!$A$2:$A$28,'Kraken Trades'!$H$2:$H$28,"--",0)</f>
        <v>--</v>
      </c>
      <c r="X40" t="str">
        <f>_xlfn.XLOOKUP(G40,'Kraken Trades'!$A$2:$A$28,'Kraken Trades'!$I$2:$I$28,"--",0)</f>
        <v>--</v>
      </c>
      <c r="Y40" t="str">
        <f>_xlfn.XLOOKUP(G40,'Kraken Trades'!$A$2:$A$28,'Kraken Trades'!$J$2:$J$28,"--",0)</f>
        <v>--</v>
      </c>
      <c r="Z40" t="str">
        <f>_xlfn.XLOOKUP(G40,'Kraken Trades'!$A$2:$A$28,'Kraken Trades'!$K$2:$K$28,"--",0)</f>
        <v>--</v>
      </c>
      <c r="AA40" t="str">
        <f>_xlfn.XLOOKUP(G40,'Kraken Trades'!$A$2:$A$28,'Kraken Trades'!$L$2:$L$28,"--",0)</f>
        <v>--</v>
      </c>
      <c r="AB40" t="str">
        <f>_xlfn.XLOOKUP(G40,'Kraken Trades'!$A$2:$A$28,'Kraken Trades'!$M$2:$M$28,"--",0)</f>
        <v>--</v>
      </c>
    </row>
    <row r="41" spans="2:28" x14ac:dyDescent="0.15">
      <c r="B41" t="s">
        <v>104</v>
      </c>
      <c r="E41" t="str">
        <f>_xlfn.XLOOKUP(D41,'DEST TAGs'!$A$2:$A$5,'DEST TAGs'!$B$2:$B$5,"--",0)</f>
        <v>--</v>
      </c>
      <c r="F41" t="s">
        <v>155</v>
      </c>
      <c r="G41" t="s">
        <v>154</v>
      </c>
      <c r="H41" s="70">
        <v>44986.418749999997</v>
      </c>
      <c r="I41" t="s">
        <v>106</v>
      </c>
      <c r="K41" t="s">
        <v>107</v>
      </c>
      <c r="L41" t="s">
        <v>108</v>
      </c>
      <c r="M41">
        <v>450</v>
      </c>
      <c r="N41">
        <v>0</v>
      </c>
      <c r="O41">
        <v>450.56189999999998</v>
      </c>
      <c r="P41" t="str">
        <f>_xlfn.XLOOKUP(G41,'Kraken Trades'!$A$2:$A$28,'Kraken Trades'!$A$2:$A$28,"--",0)</f>
        <v>--</v>
      </c>
      <c r="Q41" t="str">
        <f>_xlfn.XLOOKUP(G41,'Kraken Trades'!$A$2:$A$28,'Kraken Trades'!$B$2:$B$28,"--",0)</f>
        <v>--</v>
      </c>
      <c r="R41" t="str">
        <f>_xlfn.XLOOKUP(G41,'Kraken Trades'!$A$2:$A$28,'Kraken Trades'!$C$2:$C$28,"--",0)</f>
        <v>--</v>
      </c>
      <c r="S41" t="str">
        <f>_xlfn.XLOOKUP(G41,'Kraken Trades'!$A$2:$A$28,'Kraken Trades'!$D$2:$D$28,"--",0)</f>
        <v>--</v>
      </c>
      <c r="T41" t="str">
        <f>_xlfn.XLOOKUP(G41,'Kraken Trades'!$A$2:$A$28,'Kraken Trades'!$E$2:$E$28,"--",0)</f>
        <v>--</v>
      </c>
      <c r="U41" t="str">
        <f>_xlfn.XLOOKUP(G41,'Kraken Trades'!$A$2:$A$28,'Kraken Trades'!$F$2:$F$28,"--",0)</f>
        <v>--</v>
      </c>
      <c r="V41" t="str">
        <f>_xlfn.XLOOKUP(G41,'Kraken Trades'!$A$2:$A$28,'Kraken Trades'!$G$2:$G$28,"--",0)</f>
        <v>--</v>
      </c>
      <c r="W41" t="str">
        <f>_xlfn.XLOOKUP(G41,'Kraken Trades'!$A$2:$A$28,'Kraken Trades'!$H$2:$H$28,"--",0)</f>
        <v>--</v>
      </c>
      <c r="X41" t="str">
        <f>_xlfn.XLOOKUP(G41,'Kraken Trades'!$A$2:$A$28,'Kraken Trades'!$I$2:$I$28,"--",0)</f>
        <v>--</v>
      </c>
      <c r="Y41" t="str">
        <f>_xlfn.XLOOKUP(G41,'Kraken Trades'!$A$2:$A$28,'Kraken Trades'!$J$2:$J$28,"--",0)</f>
        <v>--</v>
      </c>
      <c r="Z41" t="str">
        <f>_xlfn.XLOOKUP(G41,'Kraken Trades'!$A$2:$A$28,'Kraken Trades'!$K$2:$K$28,"--",0)</f>
        <v>--</v>
      </c>
      <c r="AA41" t="str">
        <f>_xlfn.XLOOKUP(G41,'Kraken Trades'!$A$2:$A$28,'Kraken Trades'!$L$2:$L$28,"--",0)</f>
        <v>--</v>
      </c>
      <c r="AB41" t="str">
        <f>_xlfn.XLOOKUP(G41,'Kraken Trades'!$A$2:$A$28,'Kraken Trades'!$M$2:$M$28,"--",0)</f>
        <v>--</v>
      </c>
    </row>
    <row r="42" spans="2:28" x14ac:dyDescent="0.15">
      <c r="B42" t="s">
        <v>104</v>
      </c>
      <c r="E42" t="str">
        <f>_xlfn.XLOOKUP(D42,'DEST TAGs'!$A$2:$A$5,'DEST TAGs'!$B$2:$B$5,"--",0)</f>
        <v>--</v>
      </c>
      <c r="F42" t="s">
        <v>156</v>
      </c>
      <c r="G42" t="s">
        <v>157</v>
      </c>
      <c r="H42" s="70">
        <v>44986.466666666667</v>
      </c>
      <c r="I42" t="s">
        <v>112</v>
      </c>
      <c r="K42" t="s">
        <v>107</v>
      </c>
      <c r="L42" t="s">
        <v>108</v>
      </c>
      <c r="M42">
        <v>-235.44980000000001</v>
      </c>
      <c r="N42">
        <v>0</v>
      </c>
      <c r="O42">
        <v>215.1121</v>
      </c>
      <c r="P42" t="str">
        <f>_xlfn.XLOOKUP(G42,'Kraken Trades'!$A$2:$A$28,'Kraken Trades'!$A$2:$A$28,"--",0)</f>
        <v>TWTDYI-ASIKO-VCFX6I</v>
      </c>
      <c r="Q42" t="str">
        <f>_xlfn.XLOOKUP(G42,'Kraken Trades'!$A$2:$A$28,'Kraken Trades'!$B$2:$B$28,"--",0)</f>
        <v>ORTVJB-TAVRW-O7R7BW</v>
      </c>
      <c r="R42" t="str">
        <f>_xlfn.XLOOKUP(G42,'Kraken Trades'!$A$2:$A$28,'Kraken Trades'!$C$2:$C$28,"--",0)</f>
        <v>XRPGBP</v>
      </c>
      <c r="S42">
        <f>_xlfn.XLOOKUP(G42,'Kraken Trades'!$A$2:$A$28,'Kraken Trades'!$D$2:$D$28,"--",0)</f>
        <v>8.6203703703703703E-3</v>
      </c>
      <c r="T42" t="str">
        <f>_xlfn.XLOOKUP(G42,'Kraken Trades'!$A$2:$A$28,'Kraken Trades'!$E$2:$E$28,"--",0)</f>
        <v>buy</v>
      </c>
      <c r="U42" t="str">
        <f>_xlfn.XLOOKUP(G42,'Kraken Trades'!$A$2:$A$28,'Kraken Trades'!$F$2:$F$28,"--",0)</f>
        <v>market</v>
      </c>
      <c r="V42">
        <f>_xlfn.XLOOKUP(G42,'Kraken Trades'!$A$2:$A$28,'Kraken Trades'!$G$2:$G$28,"--",0)</f>
        <v>0.31603999999999999</v>
      </c>
      <c r="W42">
        <f>_xlfn.XLOOKUP(G42,'Kraken Trades'!$A$2:$A$28,'Kraken Trades'!$H$2:$H$28,"--",0)</f>
        <v>235.44980000000001</v>
      </c>
      <c r="X42">
        <f>_xlfn.XLOOKUP(G42,'Kraken Trades'!$A$2:$A$28,'Kraken Trades'!$I$2:$I$28,"--",0)</f>
        <v>0.61216948000000004</v>
      </c>
      <c r="Y42">
        <f>_xlfn.XLOOKUP(G42,'Kraken Trades'!$A$2:$A$28,'Kraken Trades'!$J$2:$J$28,"--",0)</f>
        <v>745</v>
      </c>
      <c r="Z42">
        <f>_xlfn.XLOOKUP(G42,'Kraken Trades'!$A$2:$A$28,'Kraken Trades'!$K$2:$K$28,"--",0)</f>
        <v>0</v>
      </c>
      <c r="AA42" t="str">
        <f>_xlfn.XLOOKUP(G42,'Kraken Trades'!$A$2:$A$28,'Kraken Trades'!$L$2:$L$28,"--",0)</f>
        <v>initiated</v>
      </c>
      <c r="AB42" t="str">
        <f>_xlfn.XLOOKUP(G42,'Kraken Trades'!$A$2:$A$28,'Kraken Trades'!$M$2:$M$28,"--",0)</f>
        <v>LRNHWZ-57VHX-HWWRUW,LPEDUI-QCVOM-6NRCON,LQG5LY-EWTI6-RSHFAR</v>
      </c>
    </row>
    <row r="43" spans="2:28" x14ac:dyDescent="0.15">
      <c r="B43" t="s">
        <v>104</v>
      </c>
      <c r="E43" t="str">
        <f>_xlfn.XLOOKUP(D43,'DEST TAGs'!$A$2:$A$5,'DEST TAGs'!$B$2:$B$5,"--",0)</f>
        <v>--</v>
      </c>
      <c r="F43" t="s">
        <v>158</v>
      </c>
      <c r="G43" t="s">
        <v>157</v>
      </c>
      <c r="H43" s="70">
        <v>44986.466666666667</v>
      </c>
      <c r="I43" t="s">
        <v>112</v>
      </c>
      <c r="K43" t="s">
        <v>107</v>
      </c>
      <c r="L43" t="s">
        <v>114</v>
      </c>
      <c r="M43">
        <v>745</v>
      </c>
      <c r="N43">
        <v>0</v>
      </c>
      <c r="O43">
        <v>745.88944330000004</v>
      </c>
      <c r="P43" t="str">
        <f>_xlfn.XLOOKUP(G43,'Kraken Trades'!$A$2:$A$28,'Kraken Trades'!$A$2:$A$28,"--",0)</f>
        <v>TWTDYI-ASIKO-VCFX6I</v>
      </c>
      <c r="Q43" t="str">
        <f>_xlfn.XLOOKUP(G43,'Kraken Trades'!$A$2:$A$28,'Kraken Trades'!$B$2:$B$28,"--",0)</f>
        <v>ORTVJB-TAVRW-O7R7BW</v>
      </c>
      <c r="R43" t="str">
        <f>_xlfn.XLOOKUP(G43,'Kraken Trades'!$A$2:$A$28,'Kraken Trades'!$C$2:$C$28,"--",0)</f>
        <v>XRPGBP</v>
      </c>
      <c r="S43">
        <f>_xlfn.XLOOKUP(G43,'Kraken Trades'!$A$2:$A$28,'Kraken Trades'!$D$2:$D$28,"--",0)</f>
        <v>8.6203703703703703E-3</v>
      </c>
      <c r="T43" t="str">
        <f>_xlfn.XLOOKUP(G43,'Kraken Trades'!$A$2:$A$28,'Kraken Trades'!$E$2:$E$28,"--",0)</f>
        <v>buy</v>
      </c>
      <c r="U43" t="str">
        <f>_xlfn.XLOOKUP(G43,'Kraken Trades'!$A$2:$A$28,'Kraken Trades'!$F$2:$F$28,"--",0)</f>
        <v>market</v>
      </c>
      <c r="V43">
        <f>_xlfn.XLOOKUP(G43,'Kraken Trades'!$A$2:$A$28,'Kraken Trades'!$G$2:$G$28,"--",0)</f>
        <v>0.31603999999999999</v>
      </c>
      <c r="W43">
        <f>_xlfn.XLOOKUP(G43,'Kraken Trades'!$A$2:$A$28,'Kraken Trades'!$H$2:$H$28,"--",0)</f>
        <v>235.44980000000001</v>
      </c>
      <c r="X43">
        <f>_xlfn.XLOOKUP(G43,'Kraken Trades'!$A$2:$A$28,'Kraken Trades'!$I$2:$I$28,"--",0)</f>
        <v>0.61216948000000004</v>
      </c>
      <c r="Y43">
        <f>_xlfn.XLOOKUP(G43,'Kraken Trades'!$A$2:$A$28,'Kraken Trades'!$J$2:$J$28,"--",0)</f>
        <v>745</v>
      </c>
      <c r="Z43">
        <f>_xlfn.XLOOKUP(G43,'Kraken Trades'!$A$2:$A$28,'Kraken Trades'!$K$2:$K$28,"--",0)</f>
        <v>0</v>
      </c>
      <c r="AA43" t="str">
        <f>_xlfn.XLOOKUP(G43,'Kraken Trades'!$A$2:$A$28,'Kraken Trades'!$L$2:$L$28,"--",0)</f>
        <v>initiated</v>
      </c>
      <c r="AB43" t="str">
        <f>_xlfn.XLOOKUP(G43,'Kraken Trades'!$A$2:$A$28,'Kraken Trades'!$M$2:$M$28,"--",0)</f>
        <v>LRNHWZ-57VHX-HWWRUW,LPEDUI-QCVOM-6NRCON,LQG5LY-EWTI6-RSHFAR</v>
      </c>
    </row>
    <row r="44" spans="2:28" x14ac:dyDescent="0.15">
      <c r="B44" t="s">
        <v>104</v>
      </c>
      <c r="E44" t="str">
        <f>_xlfn.XLOOKUP(D44,'DEST TAGs'!$A$2:$A$5,'DEST TAGs'!$B$2:$B$5,"--",0)</f>
        <v>--</v>
      </c>
      <c r="F44" t="s">
        <v>159</v>
      </c>
      <c r="G44" t="s">
        <v>157</v>
      </c>
      <c r="H44" s="70">
        <v>44986.466666666667</v>
      </c>
      <c r="I44" t="s">
        <v>112</v>
      </c>
      <c r="K44" t="s">
        <v>107</v>
      </c>
      <c r="L44" t="s">
        <v>116</v>
      </c>
      <c r="M44">
        <v>0</v>
      </c>
      <c r="N44">
        <v>73.72</v>
      </c>
      <c r="O44">
        <v>7198.01</v>
      </c>
      <c r="P44" t="str">
        <f>_xlfn.XLOOKUP(G44,'Kraken Trades'!$A$2:$A$28,'Kraken Trades'!$A$2:$A$28,"--",0)</f>
        <v>TWTDYI-ASIKO-VCFX6I</v>
      </c>
      <c r="Q44" t="str">
        <f>_xlfn.XLOOKUP(G44,'Kraken Trades'!$A$2:$A$28,'Kraken Trades'!$B$2:$B$28,"--",0)</f>
        <v>ORTVJB-TAVRW-O7R7BW</v>
      </c>
      <c r="R44" t="str">
        <f>_xlfn.XLOOKUP(G44,'Kraken Trades'!$A$2:$A$28,'Kraken Trades'!$C$2:$C$28,"--",0)</f>
        <v>XRPGBP</v>
      </c>
      <c r="S44">
        <f>_xlfn.XLOOKUP(G44,'Kraken Trades'!$A$2:$A$28,'Kraken Trades'!$D$2:$D$28,"--",0)</f>
        <v>8.6203703703703703E-3</v>
      </c>
      <c r="T44" t="str">
        <f>_xlfn.XLOOKUP(G44,'Kraken Trades'!$A$2:$A$28,'Kraken Trades'!$E$2:$E$28,"--",0)</f>
        <v>buy</v>
      </c>
      <c r="U44" t="str">
        <f>_xlfn.XLOOKUP(G44,'Kraken Trades'!$A$2:$A$28,'Kraken Trades'!$F$2:$F$28,"--",0)</f>
        <v>market</v>
      </c>
      <c r="V44">
        <f>_xlfn.XLOOKUP(G44,'Kraken Trades'!$A$2:$A$28,'Kraken Trades'!$G$2:$G$28,"--",0)</f>
        <v>0.31603999999999999</v>
      </c>
      <c r="W44">
        <f>_xlfn.XLOOKUP(G44,'Kraken Trades'!$A$2:$A$28,'Kraken Trades'!$H$2:$H$28,"--",0)</f>
        <v>235.44980000000001</v>
      </c>
      <c r="X44">
        <f>_xlfn.XLOOKUP(G44,'Kraken Trades'!$A$2:$A$28,'Kraken Trades'!$I$2:$I$28,"--",0)</f>
        <v>0.61216948000000004</v>
      </c>
      <c r="Y44">
        <f>_xlfn.XLOOKUP(G44,'Kraken Trades'!$A$2:$A$28,'Kraken Trades'!$J$2:$J$28,"--",0)</f>
        <v>745</v>
      </c>
      <c r="Z44">
        <f>_xlfn.XLOOKUP(G44,'Kraken Trades'!$A$2:$A$28,'Kraken Trades'!$K$2:$K$28,"--",0)</f>
        <v>0</v>
      </c>
      <c r="AA44" t="str">
        <f>_xlfn.XLOOKUP(G44,'Kraken Trades'!$A$2:$A$28,'Kraken Trades'!$L$2:$L$28,"--",0)</f>
        <v>initiated</v>
      </c>
      <c r="AB44" t="str">
        <f>_xlfn.XLOOKUP(G44,'Kraken Trades'!$A$2:$A$28,'Kraken Trades'!$M$2:$M$28,"--",0)</f>
        <v>LRNHWZ-57VHX-HWWRUW,LPEDUI-QCVOM-6NRCON,LQG5LY-EWTI6-RSHFAR</v>
      </c>
    </row>
    <row r="45" spans="2:28" x14ac:dyDescent="0.15">
      <c r="B45" t="s">
        <v>104</v>
      </c>
      <c r="E45" t="str">
        <f>_xlfn.XLOOKUP(D45,'DEST TAGs'!$A$2:$A$5,'DEST TAGs'!$B$2:$B$5,"--",0)</f>
        <v>--</v>
      </c>
      <c r="G45" t="s">
        <v>160</v>
      </c>
      <c r="H45" s="70">
        <v>44986.468055555553</v>
      </c>
      <c r="I45" t="s">
        <v>118</v>
      </c>
      <c r="K45" t="s">
        <v>107</v>
      </c>
      <c r="L45" t="s">
        <v>114</v>
      </c>
      <c r="M45">
        <v>-745</v>
      </c>
      <c r="N45">
        <v>0.02</v>
      </c>
      <c r="P45" t="str">
        <f>_xlfn.XLOOKUP(G45,'Kraken Trades'!$A$2:$A$28,'Kraken Trades'!$A$2:$A$28,"--",0)</f>
        <v>--</v>
      </c>
      <c r="Q45" t="str">
        <f>_xlfn.XLOOKUP(G45,'Kraken Trades'!$A$2:$A$28,'Kraken Trades'!$B$2:$B$28,"--",0)</f>
        <v>--</v>
      </c>
      <c r="R45" t="str">
        <f>_xlfn.XLOOKUP(G45,'Kraken Trades'!$A$2:$A$28,'Kraken Trades'!$C$2:$C$28,"--",0)</f>
        <v>--</v>
      </c>
      <c r="S45" t="str">
        <f>_xlfn.XLOOKUP(G45,'Kraken Trades'!$A$2:$A$28,'Kraken Trades'!$D$2:$D$28,"--",0)</f>
        <v>--</v>
      </c>
      <c r="T45" t="str">
        <f>_xlfn.XLOOKUP(G45,'Kraken Trades'!$A$2:$A$28,'Kraken Trades'!$E$2:$E$28,"--",0)</f>
        <v>--</v>
      </c>
      <c r="U45" t="str">
        <f>_xlfn.XLOOKUP(G45,'Kraken Trades'!$A$2:$A$28,'Kraken Trades'!$F$2:$F$28,"--",0)</f>
        <v>--</v>
      </c>
      <c r="V45" t="str">
        <f>_xlfn.XLOOKUP(G45,'Kraken Trades'!$A$2:$A$28,'Kraken Trades'!$G$2:$G$28,"--",0)</f>
        <v>--</v>
      </c>
      <c r="W45" t="str">
        <f>_xlfn.XLOOKUP(G45,'Kraken Trades'!$A$2:$A$28,'Kraken Trades'!$H$2:$H$28,"--",0)</f>
        <v>--</v>
      </c>
      <c r="X45" t="str">
        <f>_xlfn.XLOOKUP(G45,'Kraken Trades'!$A$2:$A$28,'Kraken Trades'!$I$2:$I$28,"--",0)</f>
        <v>--</v>
      </c>
      <c r="Y45" t="str">
        <f>_xlfn.XLOOKUP(G45,'Kraken Trades'!$A$2:$A$28,'Kraken Trades'!$J$2:$J$28,"--",0)</f>
        <v>--</v>
      </c>
      <c r="Z45" t="str">
        <f>_xlfn.XLOOKUP(G45,'Kraken Trades'!$A$2:$A$28,'Kraken Trades'!$K$2:$K$28,"--",0)</f>
        <v>--</v>
      </c>
      <c r="AA45" t="str">
        <f>_xlfn.XLOOKUP(G45,'Kraken Trades'!$A$2:$A$28,'Kraken Trades'!$L$2:$L$28,"--",0)</f>
        <v>--</v>
      </c>
      <c r="AB45" t="str">
        <f>_xlfn.XLOOKUP(G45,'Kraken Trades'!$A$2:$A$28,'Kraken Trades'!$M$2:$M$28,"--",0)</f>
        <v>--</v>
      </c>
    </row>
    <row r="46" spans="2:28" x14ac:dyDescent="0.15">
      <c r="B46" t="s">
        <v>104</v>
      </c>
      <c r="E46" t="str">
        <f>_xlfn.XLOOKUP(D46,'DEST TAGs'!$A$2:$A$5,'DEST TAGs'!$B$2:$B$5,"--",0)</f>
        <v>--</v>
      </c>
      <c r="F46" t="s">
        <v>161</v>
      </c>
      <c r="G46" t="s">
        <v>162</v>
      </c>
      <c r="H46" s="70">
        <v>44986.468055555553</v>
      </c>
      <c r="I46" t="s">
        <v>112</v>
      </c>
      <c r="K46" t="s">
        <v>107</v>
      </c>
      <c r="L46" t="s">
        <v>108</v>
      </c>
      <c r="M46">
        <v>-215.04320000000001</v>
      </c>
      <c r="N46">
        <v>0</v>
      </c>
      <c r="O46">
        <v>6.8900000000000003E-2</v>
      </c>
      <c r="P46" t="str">
        <f>_xlfn.XLOOKUP(G46,'Kraken Trades'!$A$2:$A$28,'Kraken Trades'!$A$2:$A$28,"--",0)</f>
        <v>TC3PHC-GCMVA-E6STJY</v>
      </c>
      <c r="Q46" t="str">
        <f>_xlfn.XLOOKUP(G46,'Kraken Trades'!$A$2:$A$28,'Kraken Trades'!$B$2:$B$28,"--",0)</f>
        <v>O3NVLB-QN7EY-FMQ6CE</v>
      </c>
      <c r="R46" t="str">
        <f>_xlfn.XLOOKUP(G46,'Kraken Trades'!$A$2:$A$28,'Kraken Trades'!$C$2:$C$28,"--",0)</f>
        <v>XRPGBP</v>
      </c>
      <c r="S46">
        <f>_xlfn.XLOOKUP(G46,'Kraken Trades'!$A$2:$A$28,'Kraken Trades'!$D$2:$D$28,"--",0)</f>
        <v>1.0349537037037037E-2</v>
      </c>
      <c r="T46" t="str">
        <f>_xlfn.XLOOKUP(G46,'Kraken Trades'!$A$2:$A$28,'Kraken Trades'!$E$2:$E$28,"--",0)</f>
        <v>buy</v>
      </c>
      <c r="U46" t="str">
        <f>_xlfn.XLOOKUP(G46,'Kraken Trades'!$A$2:$A$28,'Kraken Trades'!$F$2:$F$28,"--",0)</f>
        <v>market</v>
      </c>
      <c r="V46">
        <f>_xlfn.XLOOKUP(G46,'Kraken Trades'!$A$2:$A$28,'Kraken Trades'!$G$2:$G$28,"--",0)</f>
        <v>0.31624000000000002</v>
      </c>
      <c r="W46">
        <f>_xlfn.XLOOKUP(G46,'Kraken Trades'!$A$2:$A$28,'Kraken Trades'!$H$2:$H$28,"--",0)</f>
        <v>215.04320000000001</v>
      </c>
      <c r="X46">
        <f>_xlfn.XLOOKUP(G46,'Kraken Trades'!$A$2:$A$28,'Kraken Trades'!$I$2:$I$28,"--",0)</f>
        <v>0.55911232</v>
      </c>
      <c r="Y46">
        <f>_xlfn.XLOOKUP(G46,'Kraken Trades'!$A$2:$A$28,'Kraken Trades'!$J$2:$J$28,"--",0)</f>
        <v>680</v>
      </c>
      <c r="Z46">
        <f>_xlfn.XLOOKUP(G46,'Kraken Trades'!$A$2:$A$28,'Kraken Trades'!$K$2:$K$28,"--",0)</f>
        <v>0</v>
      </c>
      <c r="AA46" t="str">
        <f>_xlfn.XLOOKUP(G46,'Kraken Trades'!$A$2:$A$28,'Kraken Trades'!$L$2:$L$28,"--",0)</f>
        <v>initiated</v>
      </c>
      <c r="AB46" t="str">
        <f>_xlfn.XLOOKUP(G46,'Kraken Trades'!$A$2:$A$28,'Kraken Trades'!$M$2:$M$28,"--",0)</f>
        <v>LVPZY3-Q45Q7-LMRC3C,LWLOFX-MMUGN-TTVA5O,L6CQJL-6WC7R-HFAEGK</v>
      </c>
    </row>
    <row r="47" spans="2:28" x14ac:dyDescent="0.15">
      <c r="B47" t="s">
        <v>104</v>
      </c>
      <c r="E47" t="str">
        <f>_xlfn.XLOOKUP(D47,'DEST TAGs'!$A$2:$A$5,'DEST TAGs'!$B$2:$B$5,"--",0)</f>
        <v>--</v>
      </c>
      <c r="F47" t="s">
        <v>163</v>
      </c>
      <c r="G47" t="s">
        <v>162</v>
      </c>
      <c r="H47" s="70">
        <v>44986.468055555553</v>
      </c>
      <c r="I47" t="s">
        <v>112</v>
      </c>
      <c r="K47" t="s">
        <v>107</v>
      </c>
      <c r="L47" t="s">
        <v>114</v>
      </c>
      <c r="M47">
        <v>680</v>
      </c>
      <c r="N47">
        <v>0</v>
      </c>
      <c r="O47">
        <v>1425.889443</v>
      </c>
      <c r="P47" t="str">
        <f>_xlfn.XLOOKUP(G47,'Kraken Trades'!$A$2:$A$28,'Kraken Trades'!$A$2:$A$28,"--",0)</f>
        <v>TC3PHC-GCMVA-E6STJY</v>
      </c>
      <c r="Q47" t="str">
        <f>_xlfn.XLOOKUP(G47,'Kraken Trades'!$A$2:$A$28,'Kraken Trades'!$B$2:$B$28,"--",0)</f>
        <v>O3NVLB-QN7EY-FMQ6CE</v>
      </c>
      <c r="R47" t="str">
        <f>_xlfn.XLOOKUP(G47,'Kraken Trades'!$A$2:$A$28,'Kraken Trades'!$C$2:$C$28,"--",0)</f>
        <v>XRPGBP</v>
      </c>
      <c r="S47">
        <f>_xlfn.XLOOKUP(G47,'Kraken Trades'!$A$2:$A$28,'Kraken Trades'!$D$2:$D$28,"--",0)</f>
        <v>1.0349537037037037E-2</v>
      </c>
      <c r="T47" t="str">
        <f>_xlfn.XLOOKUP(G47,'Kraken Trades'!$A$2:$A$28,'Kraken Trades'!$E$2:$E$28,"--",0)</f>
        <v>buy</v>
      </c>
      <c r="U47" t="str">
        <f>_xlfn.XLOOKUP(G47,'Kraken Trades'!$A$2:$A$28,'Kraken Trades'!$F$2:$F$28,"--",0)</f>
        <v>market</v>
      </c>
      <c r="V47">
        <f>_xlfn.XLOOKUP(G47,'Kraken Trades'!$A$2:$A$28,'Kraken Trades'!$G$2:$G$28,"--",0)</f>
        <v>0.31624000000000002</v>
      </c>
      <c r="W47">
        <f>_xlfn.XLOOKUP(G47,'Kraken Trades'!$A$2:$A$28,'Kraken Trades'!$H$2:$H$28,"--",0)</f>
        <v>215.04320000000001</v>
      </c>
      <c r="X47">
        <f>_xlfn.XLOOKUP(G47,'Kraken Trades'!$A$2:$A$28,'Kraken Trades'!$I$2:$I$28,"--",0)</f>
        <v>0.55911232</v>
      </c>
      <c r="Y47">
        <f>_xlfn.XLOOKUP(G47,'Kraken Trades'!$A$2:$A$28,'Kraken Trades'!$J$2:$J$28,"--",0)</f>
        <v>680</v>
      </c>
      <c r="Z47">
        <f>_xlfn.XLOOKUP(G47,'Kraken Trades'!$A$2:$A$28,'Kraken Trades'!$K$2:$K$28,"--",0)</f>
        <v>0</v>
      </c>
      <c r="AA47" t="str">
        <f>_xlfn.XLOOKUP(G47,'Kraken Trades'!$A$2:$A$28,'Kraken Trades'!$L$2:$L$28,"--",0)</f>
        <v>initiated</v>
      </c>
      <c r="AB47" t="str">
        <f>_xlfn.XLOOKUP(G47,'Kraken Trades'!$A$2:$A$28,'Kraken Trades'!$M$2:$M$28,"--",0)</f>
        <v>LVPZY3-Q45Q7-LMRC3C,LWLOFX-MMUGN-TTVA5O,L6CQJL-6WC7R-HFAEGK</v>
      </c>
    </row>
    <row r="48" spans="2:28" x14ac:dyDescent="0.15">
      <c r="B48" t="s">
        <v>104</v>
      </c>
      <c r="E48" t="str">
        <f>_xlfn.XLOOKUP(D48,'DEST TAGs'!$A$2:$A$5,'DEST TAGs'!$B$2:$B$5,"--",0)</f>
        <v>--</v>
      </c>
      <c r="F48" t="s">
        <v>164</v>
      </c>
      <c r="G48" t="s">
        <v>162</v>
      </c>
      <c r="H48" s="70">
        <v>44986.468055555553</v>
      </c>
      <c r="I48" t="s">
        <v>112</v>
      </c>
      <c r="K48" t="s">
        <v>107</v>
      </c>
      <c r="L48" t="s">
        <v>116</v>
      </c>
      <c r="M48">
        <v>0</v>
      </c>
      <c r="N48">
        <v>67.319999999999993</v>
      </c>
      <c r="O48">
        <v>7130.69</v>
      </c>
      <c r="P48" t="str">
        <f>_xlfn.XLOOKUP(G48,'Kraken Trades'!$A$2:$A$28,'Kraken Trades'!$A$2:$A$28,"--",0)</f>
        <v>TC3PHC-GCMVA-E6STJY</v>
      </c>
      <c r="Q48" t="str">
        <f>_xlfn.XLOOKUP(G48,'Kraken Trades'!$A$2:$A$28,'Kraken Trades'!$B$2:$B$28,"--",0)</f>
        <v>O3NVLB-QN7EY-FMQ6CE</v>
      </c>
      <c r="R48" t="str">
        <f>_xlfn.XLOOKUP(G48,'Kraken Trades'!$A$2:$A$28,'Kraken Trades'!$C$2:$C$28,"--",0)</f>
        <v>XRPGBP</v>
      </c>
      <c r="S48">
        <f>_xlfn.XLOOKUP(G48,'Kraken Trades'!$A$2:$A$28,'Kraken Trades'!$D$2:$D$28,"--",0)</f>
        <v>1.0349537037037037E-2</v>
      </c>
      <c r="T48" t="str">
        <f>_xlfn.XLOOKUP(G48,'Kraken Trades'!$A$2:$A$28,'Kraken Trades'!$E$2:$E$28,"--",0)</f>
        <v>buy</v>
      </c>
      <c r="U48" t="str">
        <f>_xlfn.XLOOKUP(G48,'Kraken Trades'!$A$2:$A$28,'Kraken Trades'!$F$2:$F$28,"--",0)</f>
        <v>market</v>
      </c>
      <c r="V48">
        <f>_xlfn.XLOOKUP(G48,'Kraken Trades'!$A$2:$A$28,'Kraken Trades'!$G$2:$G$28,"--",0)</f>
        <v>0.31624000000000002</v>
      </c>
      <c r="W48">
        <f>_xlfn.XLOOKUP(G48,'Kraken Trades'!$A$2:$A$28,'Kraken Trades'!$H$2:$H$28,"--",0)</f>
        <v>215.04320000000001</v>
      </c>
      <c r="X48">
        <f>_xlfn.XLOOKUP(G48,'Kraken Trades'!$A$2:$A$28,'Kraken Trades'!$I$2:$I$28,"--",0)</f>
        <v>0.55911232</v>
      </c>
      <c r="Y48">
        <f>_xlfn.XLOOKUP(G48,'Kraken Trades'!$A$2:$A$28,'Kraken Trades'!$J$2:$J$28,"--",0)</f>
        <v>680</v>
      </c>
      <c r="Z48">
        <f>_xlfn.XLOOKUP(G48,'Kraken Trades'!$A$2:$A$28,'Kraken Trades'!$K$2:$K$28,"--",0)</f>
        <v>0</v>
      </c>
      <c r="AA48" t="str">
        <f>_xlfn.XLOOKUP(G48,'Kraken Trades'!$A$2:$A$28,'Kraken Trades'!$L$2:$L$28,"--",0)</f>
        <v>initiated</v>
      </c>
      <c r="AB48" t="str">
        <f>_xlfn.XLOOKUP(G48,'Kraken Trades'!$A$2:$A$28,'Kraken Trades'!$M$2:$M$28,"--",0)</f>
        <v>LVPZY3-Q45Q7-LMRC3C,LWLOFX-MMUGN-TTVA5O,L6CQJL-6WC7R-HFAEGK</v>
      </c>
    </row>
    <row r="49" spans="2:28" x14ac:dyDescent="0.15">
      <c r="B49" t="s">
        <v>104</v>
      </c>
      <c r="E49" t="str">
        <f>_xlfn.XLOOKUP(D49,'DEST TAGs'!$A$2:$A$5,'DEST TAGs'!$B$2:$B$5,"--",0)</f>
        <v>--</v>
      </c>
      <c r="F49" t="s">
        <v>165</v>
      </c>
      <c r="G49" t="s">
        <v>160</v>
      </c>
      <c r="H49" s="70">
        <v>44986.46875</v>
      </c>
      <c r="I49" t="s">
        <v>118</v>
      </c>
      <c r="K49" t="s">
        <v>107</v>
      </c>
      <c r="L49" t="s">
        <v>114</v>
      </c>
      <c r="M49">
        <v>-745</v>
      </c>
      <c r="N49">
        <v>0.02</v>
      </c>
      <c r="O49">
        <v>680.86944329999994</v>
      </c>
      <c r="P49" t="str">
        <f>_xlfn.XLOOKUP(G49,'Kraken Trades'!$A$2:$A$28,'Kraken Trades'!$A$2:$A$28,"--",0)</f>
        <v>--</v>
      </c>
      <c r="Q49" t="str">
        <f>_xlfn.XLOOKUP(G49,'Kraken Trades'!$A$2:$A$28,'Kraken Trades'!$B$2:$B$28,"--",0)</f>
        <v>--</v>
      </c>
      <c r="R49" t="str">
        <f>_xlfn.XLOOKUP(G49,'Kraken Trades'!$A$2:$A$28,'Kraken Trades'!$C$2:$C$28,"--",0)</f>
        <v>--</v>
      </c>
      <c r="S49" t="str">
        <f>_xlfn.XLOOKUP(G49,'Kraken Trades'!$A$2:$A$28,'Kraken Trades'!$D$2:$D$28,"--",0)</f>
        <v>--</v>
      </c>
      <c r="T49" t="str">
        <f>_xlfn.XLOOKUP(G49,'Kraken Trades'!$A$2:$A$28,'Kraken Trades'!$E$2:$E$28,"--",0)</f>
        <v>--</v>
      </c>
      <c r="U49" t="str">
        <f>_xlfn.XLOOKUP(G49,'Kraken Trades'!$A$2:$A$28,'Kraken Trades'!$F$2:$F$28,"--",0)</f>
        <v>--</v>
      </c>
      <c r="V49" t="str">
        <f>_xlfn.XLOOKUP(G49,'Kraken Trades'!$A$2:$A$28,'Kraken Trades'!$G$2:$G$28,"--",0)</f>
        <v>--</v>
      </c>
      <c r="W49" t="str">
        <f>_xlfn.XLOOKUP(G49,'Kraken Trades'!$A$2:$A$28,'Kraken Trades'!$H$2:$H$28,"--",0)</f>
        <v>--</v>
      </c>
      <c r="X49" t="str">
        <f>_xlfn.XLOOKUP(G49,'Kraken Trades'!$A$2:$A$28,'Kraken Trades'!$I$2:$I$28,"--",0)</f>
        <v>--</v>
      </c>
      <c r="Y49" t="str">
        <f>_xlfn.XLOOKUP(G49,'Kraken Trades'!$A$2:$A$28,'Kraken Trades'!$J$2:$J$28,"--",0)</f>
        <v>--</v>
      </c>
      <c r="Z49" t="str">
        <f>_xlfn.XLOOKUP(G49,'Kraken Trades'!$A$2:$A$28,'Kraken Trades'!$K$2:$K$28,"--",0)</f>
        <v>--</v>
      </c>
      <c r="AA49" t="str">
        <f>_xlfn.XLOOKUP(G49,'Kraken Trades'!$A$2:$A$28,'Kraken Trades'!$L$2:$L$28,"--",0)</f>
        <v>--</v>
      </c>
      <c r="AB49" t="str">
        <f>_xlfn.XLOOKUP(G49,'Kraken Trades'!$A$2:$A$28,'Kraken Trades'!$M$2:$M$28,"--",0)</f>
        <v>--</v>
      </c>
    </row>
    <row r="50" spans="2:28" x14ac:dyDescent="0.15">
      <c r="B50" t="s">
        <v>104</v>
      </c>
      <c r="E50" t="str">
        <f>_xlfn.XLOOKUP(D50,'DEST TAGs'!$A$2:$A$5,'DEST TAGs'!$B$2:$B$5,"--",0)</f>
        <v>--</v>
      </c>
      <c r="G50" t="s">
        <v>166</v>
      </c>
      <c r="H50" s="70">
        <v>44986.469444444447</v>
      </c>
      <c r="I50" t="s">
        <v>118</v>
      </c>
      <c r="K50" t="s">
        <v>107</v>
      </c>
      <c r="L50" t="s">
        <v>114</v>
      </c>
      <c r="M50">
        <v>-680</v>
      </c>
      <c r="N50">
        <v>0.02</v>
      </c>
      <c r="P50" t="str">
        <f>_xlfn.XLOOKUP(G50,'Kraken Trades'!$A$2:$A$28,'Kraken Trades'!$A$2:$A$28,"--",0)</f>
        <v>--</v>
      </c>
      <c r="Q50" t="str">
        <f>_xlfn.XLOOKUP(G50,'Kraken Trades'!$A$2:$A$28,'Kraken Trades'!$B$2:$B$28,"--",0)</f>
        <v>--</v>
      </c>
      <c r="R50" t="str">
        <f>_xlfn.XLOOKUP(G50,'Kraken Trades'!$A$2:$A$28,'Kraken Trades'!$C$2:$C$28,"--",0)</f>
        <v>--</v>
      </c>
      <c r="S50" t="str">
        <f>_xlfn.XLOOKUP(G50,'Kraken Trades'!$A$2:$A$28,'Kraken Trades'!$D$2:$D$28,"--",0)</f>
        <v>--</v>
      </c>
      <c r="T50" t="str">
        <f>_xlfn.XLOOKUP(G50,'Kraken Trades'!$A$2:$A$28,'Kraken Trades'!$E$2:$E$28,"--",0)</f>
        <v>--</v>
      </c>
      <c r="U50" t="str">
        <f>_xlfn.XLOOKUP(G50,'Kraken Trades'!$A$2:$A$28,'Kraken Trades'!$F$2:$F$28,"--",0)</f>
        <v>--</v>
      </c>
      <c r="V50" t="str">
        <f>_xlfn.XLOOKUP(G50,'Kraken Trades'!$A$2:$A$28,'Kraken Trades'!$G$2:$G$28,"--",0)</f>
        <v>--</v>
      </c>
      <c r="W50" t="str">
        <f>_xlfn.XLOOKUP(G50,'Kraken Trades'!$A$2:$A$28,'Kraken Trades'!$H$2:$H$28,"--",0)</f>
        <v>--</v>
      </c>
      <c r="X50" t="str">
        <f>_xlfn.XLOOKUP(G50,'Kraken Trades'!$A$2:$A$28,'Kraken Trades'!$I$2:$I$28,"--",0)</f>
        <v>--</v>
      </c>
      <c r="Y50" t="str">
        <f>_xlfn.XLOOKUP(G50,'Kraken Trades'!$A$2:$A$28,'Kraken Trades'!$J$2:$J$28,"--",0)</f>
        <v>--</v>
      </c>
      <c r="Z50" t="str">
        <f>_xlfn.XLOOKUP(G50,'Kraken Trades'!$A$2:$A$28,'Kraken Trades'!$K$2:$K$28,"--",0)</f>
        <v>--</v>
      </c>
      <c r="AA50" t="str">
        <f>_xlfn.XLOOKUP(G50,'Kraken Trades'!$A$2:$A$28,'Kraken Trades'!$L$2:$L$28,"--",0)</f>
        <v>--</v>
      </c>
      <c r="AB50" t="str">
        <f>_xlfn.XLOOKUP(G50,'Kraken Trades'!$A$2:$A$28,'Kraken Trades'!$M$2:$M$28,"--",0)</f>
        <v>--</v>
      </c>
    </row>
    <row r="51" spans="2:28" x14ac:dyDescent="0.15">
      <c r="B51" t="s">
        <v>104</v>
      </c>
      <c r="E51" t="str">
        <f>_xlfn.XLOOKUP(D51,'DEST TAGs'!$A$2:$A$5,'DEST TAGs'!$B$2:$B$5,"--",0)</f>
        <v>--</v>
      </c>
      <c r="F51" t="s">
        <v>167</v>
      </c>
      <c r="G51" t="s">
        <v>166</v>
      </c>
      <c r="H51" s="70">
        <v>44986.470833333333</v>
      </c>
      <c r="I51" t="s">
        <v>118</v>
      </c>
      <c r="K51" t="s">
        <v>107</v>
      </c>
      <c r="L51" t="s">
        <v>114</v>
      </c>
      <c r="M51">
        <v>-680</v>
      </c>
      <c r="N51">
        <v>0.02</v>
      </c>
      <c r="O51">
        <v>0.84944333999999999</v>
      </c>
      <c r="P51" t="str">
        <f>_xlfn.XLOOKUP(G51,'Kraken Trades'!$A$2:$A$28,'Kraken Trades'!$A$2:$A$28,"--",0)</f>
        <v>--</v>
      </c>
      <c r="Q51" t="str">
        <f>_xlfn.XLOOKUP(G51,'Kraken Trades'!$A$2:$A$28,'Kraken Trades'!$B$2:$B$28,"--",0)</f>
        <v>--</v>
      </c>
      <c r="R51" t="str">
        <f>_xlfn.XLOOKUP(G51,'Kraken Trades'!$A$2:$A$28,'Kraken Trades'!$C$2:$C$28,"--",0)</f>
        <v>--</v>
      </c>
      <c r="S51" t="str">
        <f>_xlfn.XLOOKUP(G51,'Kraken Trades'!$A$2:$A$28,'Kraken Trades'!$D$2:$D$28,"--",0)</f>
        <v>--</v>
      </c>
      <c r="T51" t="str">
        <f>_xlfn.XLOOKUP(G51,'Kraken Trades'!$A$2:$A$28,'Kraken Trades'!$E$2:$E$28,"--",0)</f>
        <v>--</v>
      </c>
      <c r="U51" t="str">
        <f>_xlfn.XLOOKUP(G51,'Kraken Trades'!$A$2:$A$28,'Kraken Trades'!$F$2:$F$28,"--",0)</f>
        <v>--</v>
      </c>
      <c r="V51" t="str">
        <f>_xlfn.XLOOKUP(G51,'Kraken Trades'!$A$2:$A$28,'Kraken Trades'!$G$2:$G$28,"--",0)</f>
        <v>--</v>
      </c>
      <c r="W51" t="str">
        <f>_xlfn.XLOOKUP(G51,'Kraken Trades'!$A$2:$A$28,'Kraken Trades'!$H$2:$H$28,"--",0)</f>
        <v>--</v>
      </c>
      <c r="X51" t="str">
        <f>_xlfn.XLOOKUP(G51,'Kraken Trades'!$A$2:$A$28,'Kraken Trades'!$I$2:$I$28,"--",0)</f>
        <v>--</v>
      </c>
      <c r="Y51" t="str">
        <f>_xlfn.XLOOKUP(G51,'Kraken Trades'!$A$2:$A$28,'Kraken Trades'!$J$2:$J$28,"--",0)</f>
        <v>--</v>
      </c>
      <c r="Z51" t="str">
        <f>_xlfn.XLOOKUP(G51,'Kraken Trades'!$A$2:$A$28,'Kraken Trades'!$K$2:$K$28,"--",0)</f>
        <v>--</v>
      </c>
      <c r="AA51" t="str">
        <f>_xlfn.XLOOKUP(G51,'Kraken Trades'!$A$2:$A$28,'Kraken Trades'!$L$2:$L$28,"--",0)</f>
        <v>--</v>
      </c>
      <c r="AB51" t="str">
        <f>_xlfn.XLOOKUP(G51,'Kraken Trades'!$A$2:$A$28,'Kraken Trades'!$M$2:$M$28,"--",0)</f>
        <v>--</v>
      </c>
    </row>
    <row r="52" spans="2:28" x14ac:dyDescent="0.15">
      <c r="B52" t="s">
        <v>104</v>
      </c>
      <c r="E52" t="str">
        <f>_xlfn.XLOOKUP(D52,'DEST TAGs'!$A$2:$A$5,'DEST TAGs'!$B$2:$B$5,"--",0)</f>
        <v>--</v>
      </c>
      <c r="G52" t="s">
        <v>168</v>
      </c>
      <c r="H52" s="70">
        <v>45007.42083333333</v>
      </c>
      <c r="I52" t="s">
        <v>106</v>
      </c>
      <c r="K52" t="s">
        <v>107</v>
      </c>
      <c r="L52" t="s">
        <v>108</v>
      </c>
      <c r="M52">
        <v>275</v>
      </c>
      <c r="N52">
        <v>0</v>
      </c>
      <c r="P52" t="str">
        <f>_xlfn.XLOOKUP(G52,'Kraken Trades'!$A$2:$A$28,'Kraken Trades'!$A$2:$A$28,"--",0)</f>
        <v>--</v>
      </c>
      <c r="Q52" t="str">
        <f>_xlfn.XLOOKUP(G52,'Kraken Trades'!$A$2:$A$28,'Kraken Trades'!$B$2:$B$28,"--",0)</f>
        <v>--</v>
      </c>
      <c r="R52" t="str">
        <f>_xlfn.XLOOKUP(G52,'Kraken Trades'!$A$2:$A$28,'Kraken Trades'!$C$2:$C$28,"--",0)</f>
        <v>--</v>
      </c>
      <c r="S52" t="str">
        <f>_xlfn.XLOOKUP(G52,'Kraken Trades'!$A$2:$A$28,'Kraken Trades'!$D$2:$D$28,"--",0)</f>
        <v>--</v>
      </c>
      <c r="T52" t="str">
        <f>_xlfn.XLOOKUP(G52,'Kraken Trades'!$A$2:$A$28,'Kraken Trades'!$E$2:$E$28,"--",0)</f>
        <v>--</v>
      </c>
      <c r="U52" t="str">
        <f>_xlfn.XLOOKUP(G52,'Kraken Trades'!$A$2:$A$28,'Kraken Trades'!$F$2:$F$28,"--",0)</f>
        <v>--</v>
      </c>
      <c r="V52" t="str">
        <f>_xlfn.XLOOKUP(G52,'Kraken Trades'!$A$2:$A$28,'Kraken Trades'!$G$2:$G$28,"--",0)</f>
        <v>--</v>
      </c>
      <c r="W52" t="str">
        <f>_xlfn.XLOOKUP(G52,'Kraken Trades'!$A$2:$A$28,'Kraken Trades'!$H$2:$H$28,"--",0)</f>
        <v>--</v>
      </c>
      <c r="X52" t="str">
        <f>_xlfn.XLOOKUP(G52,'Kraken Trades'!$A$2:$A$28,'Kraken Trades'!$I$2:$I$28,"--",0)</f>
        <v>--</v>
      </c>
      <c r="Y52" t="str">
        <f>_xlfn.XLOOKUP(G52,'Kraken Trades'!$A$2:$A$28,'Kraken Trades'!$J$2:$J$28,"--",0)</f>
        <v>--</v>
      </c>
      <c r="Z52" t="str">
        <f>_xlfn.XLOOKUP(G52,'Kraken Trades'!$A$2:$A$28,'Kraken Trades'!$K$2:$K$28,"--",0)</f>
        <v>--</v>
      </c>
      <c r="AA52" t="str">
        <f>_xlfn.XLOOKUP(G52,'Kraken Trades'!$A$2:$A$28,'Kraken Trades'!$L$2:$L$28,"--",0)</f>
        <v>--</v>
      </c>
      <c r="AB52" t="str">
        <f>_xlfn.XLOOKUP(G52,'Kraken Trades'!$A$2:$A$28,'Kraken Trades'!$M$2:$M$28,"--",0)</f>
        <v>--</v>
      </c>
    </row>
    <row r="53" spans="2:28" x14ac:dyDescent="0.15">
      <c r="B53" t="s">
        <v>104</v>
      </c>
      <c r="E53" t="str">
        <f>_xlfn.XLOOKUP(D53,'DEST TAGs'!$A$2:$A$5,'DEST TAGs'!$B$2:$B$5,"--",0)</f>
        <v>--</v>
      </c>
      <c r="F53" t="s">
        <v>169</v>
      </c>
      <c r="G53" t="s">
        <v>168</v>
      </c>
      <c r="H53" s="70">
        <v>45007.436111111114</v>
      </c>
      <c r="I53" t="s">
        <v>106</v>
      </c>
      <c r="K53" t="s">
        <v>107</v>
      </c>
      <c r="L53" t="s">
        <v>108</v>
      </c>
      <c r="M53">
        <v>275</v>
      </c>
      <c r="N53">
        <v>0</v>
      </c>
      <c r="O53">
        <v>275.06889999999999</v>
      </c>
      <c r="P53" t="str">
        <f>_xlfn.XLOOKUP(G53,'Kraken Trades'!$A$2:$A$28,'Kraken Trades'!$A$2:$A$28,"--",0)</f>
        <v>--</v>
      </c>
      <c r="Q53" t="str">
        <f>_xlfn.XLOOKUP(G53,'Kraken Trades'!$A$2:$A$28,'Kraken Trades'!$B$2:$B$28,"--",0)</f>
        <v>--</v>
      </c>
      <c r="R53" t="str">
        <f>_xlfn.XLOOKUP(G53,'Kraken Trades'!$A$2:$A$28,'Kraken Trades'!$C$2:$C$28,"--",0)</f>
        <v>--</v>
      </c>
      <c r="S53" t="str">
        <f>_xlfn.XLOOKUP(G53,'Kraken Trades'!$A$2:$A$28,'Kraken Trades'!$D$2:$D$28,"--",0)</f>
        <v>--</v>
      </c>
      <c r="T53" t="str">
        <f>_xlfn.XLOOKUP(G53,'Kraken Trades'!$A$2:$A$28,'Kraken Trades'!$E$2:$E$28,"--",0)</f>
        <v>--</v>
      </c>
      <c r="U53" t="str">
        <f>_xlfn.XLOOKUP(G53,'Kraken Trades'!$A$2:$A$28,'Kraken Trades'!$F$2:$F$28,"--",0)</f>
        <v>--</v>
      </c>
      <c r="V53" t="str">
        <f>_xlfn.XLOOKUP(G53,'Kraken Trades'!$A$2:$A$28,'Kraken Trades'!$G$2:$G$28,"--",0)</f>
        <v>--</v>
      </c>
      <c r="W53" t="str">
        <f>_xlfn.XLOOKUP(G53,'Kraken Trades'!$A$2:$A$28,'Kraken Trades'!$H$2:$H$28,"--",0)</f>
        <v>--</v>
      </c>
      <c r="X53" t="str">
        <f>_xlfn.XLOOKUP(G53,'Kraken Trades'!$A$2:$A$28,'Kraken Trades'!$I$2:$I$28,"--",0)</f>
        <v>--</v>
      </c>
      <c r="Y53" t="str">
        <f>_xlfn.XLOOKUP(G53,'Kraken Trades'!$A$2:$A$28,'Kraken Trades'!$J$2:$J$28,"--",0)</f>
        <v>--</v>
      </c>
      <c r="Z53" t="str">
        <f>_xlfn.XLOOKUP(G53,'Kraken Trades'!$A$2:$A$28,'Kraken Trades'!$K$2:$K$28,"--",0)</f>
        <v>--</v>
      </c>
      <c r="AA53" t="str">
        <f>_xlfn.XLOOKUP(G53,'Kraken Trades'!$A$2:$A$28,'Kraken Trades'!$L$2:$L$28,"--",0)</f>
        <v>--</v>
      </c>
      <c r="AB53" t="str">
        <f>_xlfn.XLOOKUP(G53,'Kraken Trades'!$A$2:$A$28,'Kraken Trades'!$M$2:$M$28,"--",0)</f>
        <v>--</v>
      </c>
    </row>
    <row r="54" spans="2:28" x14ac:dyDescent="0.15">
      <c r="B54" t="s">
        <v>104</v>
      </c>
      <c r="E54" t="str">
        <f>_xlfn.XLOOKUP(D54,'DEST TAGs'!$A$2:$A$5,'DEST TAGs'!$B$2:$B$5,"--",0)</f>
        <v>--</v>
      </c>
      <c r="F54" t="s">
        <v>170</v>
      </c>
      <c r="G54" t="s">
        <v>171</v>
      </c>
      <c r="H54" s="70">
        <v>45007.445833333331</v>
      </c>
      <c r="I54" t="s">
        <v>112</v>
      </c>
      <c r="K54" t="s">
        <v>107</v>
      </c>
      <c r="L54" t="s">
        <v>108</v>
      </c>
      <c r="M54">
        <v>-256.94549999999998</v>
      </c>
      <c r="N54">
        <v>0</v>
      </c>
      <c r="O54">
        <v>18.1234</v>
      </c>
      <c r="P54" t="str">
        <f>_xlfn.XLOOKUP(G54,'Kraken Trades'!$A$2:$A$28,'Kraken Trades'!$A$2:$A$28,"--",0)</f>
        <v>TVEO4I-KY7HQ-QBBWUM</v>
      </c>
      <c r="Q54" t="str">
        <f>_xlfn.XLOOKUP(G54,'Kraken Trades'!$A$2:$A$28,'Kraken Trades'!$B$2:$B$28,"--",0)</f>
        <v>OXYUXG-MWUSN-R5UQHK</v>
      </c>
      <c r="R54" t="str">
        <f>_xlfn.XLOOKUP(G54,'Kraken Trades'!$A$2:$A$28,'Kraken Trades'!$C$2:$C$28,"--",0)</f>
        <v>XRPGBP</v>
      </c>
      <c r="S54">
        <f>_xlfn.XLOOKUP(G54,'Kraken Trades'!$A$2:$A$28,'Kraken Trades'!$D$2:$D$28,"--",0)</f>
        <v>2.9686342592592594E-2</v>
      </c>
      <c r="T54" t="str">
        <f>_xlfn.XLOOKUP(G54,'Kraken Trades'!$A$2:$A$28,'Kraken Trades'!$E$2:$E$28,"--",0)</f>
        <v>buy</v>
      </c>
      <c r="U54" t="str">
        <f>_xlfn.XLOOKUP(G54,'Kraken Trades'!$A$2:$A$28,'Kraken Trades'!$F$2:$F$28,"--",0)</f>
        <v>market</v>
      </c>
      <c r="V54">
        <f>_xlfn.XLOOKUP(G54,'Kraken Trades'!$A$2:$A$28,'Kraken Trades'!$G$2:$G$28,"--",0)</f>
        <v>0.36706496</v>
      </c>
      <c r="W54">
        <f>_xlfn.XLOOKUP(G54,'Kraken Trades'!$A$2:$A$28,'Kraken Trades'!$H$2:$H$28,"--",0)</f>
        <v>256.94546889999998</v>
      </c>
      <c r="X54">
        <f>_xlfn.XLOOKUP(G54,'Kraken Trades'!$A$2:$A$28,'Kraken Trades'!$I$2:$I$28,"--",0)</f>
        <v>0.66805822000000004</v>
      </c>
      <c r="Y54">
        <f>_xlfn.XLOOKUP(G54,'Kraken Trades'!$A$2:$A$28,'Kraken Trades'!$J$2:$J$28,"--",0)</f>
        <v>700</v>
      </c>
      <c r="Z54">
        <f>_xlfn.XLOOKUP(G54,'Kraken Trades'!$A$2:$A$28,'Kraken Trades'!$K$2:$K$28,"--",0)</f>
        <v>0</v>
      </c>
      <c r="AA54" t="str">
        <f>_xlfn.XLOOKUP(G54,'Kraken Trades'!$A$2:$A$28,'Kraken Trades'!$L$2:$L$28,"--",0)</f>
        <v>initiated</v>
      </c>
      <c r="AB54" t="str">
        <f>_xlfn.XLOOKUP(G54,'Kraken Trades'!$A$2:$A$28,'Kraken Trades'!$M$2:$M$28,"--",0)</f>
        <v>L6SMP6-NDAWR-2UIRQZ,LJDYPI-R6LH7-E2EA6H,LKTWBH-PHKLE-CC24C2</v>
      </c>
    </row>
    <row r="55" spans="2:28" x14ac:dyDescent="0.15">
      <c r="B55" t="s">
        <v>104</v>
      </c>
      <c r="E55" t="str">
        <f>_xlfn.XLOOKUP(D55,'DEST TAGs'!$A$2:$A$5,'DEST TAGs'!$B$2:$B$5,"--",0)</f>
        <v>--</v>
      </c>
      <c r="F55" t="s">
        <v>172</v>
      </c>
      <c r="G55" t="s">
        <v>171</v>
      </c>
      <c r="H55" s="70">
        <v>45007.445833333331</v>
      </c>
      <c r="I55" t="s">
        <v>112</v>
      </c>
      <c r="K55" t="s">
        <v>107</v>
      </c>
      <c r="L55" t="s">
        <v>114</v>
      </c>
      <c r="M55">
        <v>700</v>
      </c>
      <c r="N55">
        <v>0</v>
      </c>
      <c r="O55">
        <v>700.84944329999996</v>
      </c>
      <c r="P55" t="str">
        <f>_xlfn.XLOOKUP(G55,'Kraken Trades'!$A$2:$A$28,'Kraken Trades'!$A$2:$A$28,"--",0)</f>
        <v>TVEO4I-KY7HQ-QBBWUM</v>
      </c>
      <c r="Q55" t="str">
        <f>_xlfn.XLOOKUP(G55,'Kraken Trades'!$A$2:$A$28,'Kraken Trades'!$B$2:$B$28,"--",0)</f>
        <v>OXYUXG-MWUSN-R5UQHK</v>
      </c>
      <c r="R55" t="str">
        <f>_xlfn.XLOOKUP(G55,'Kraken Trades'!$A$2:$A$28,'Kraken Trades'!$C$2:$C$28,"--",0)</f>
        <v>XRPGBP</v>
      </c>
      <c r="S55">
        <f>_xlfn.XLOOKUP(G55,'Kraken Trades'!$A$2:$A$28,'Kraken Trades'!$D$2:$D$28,"--",0)</f>
        <v>2.9686342592592594E-2</v>
      </c>
      <c r="T55" t="str">
        <f>_xlfn.XLOOKUP(G55,'Kraken Trades'!$A$2:$A$28,'Kraken Trades'!$E$2:$E$28,"--",0)</f>
        <v>buy</v>
      </c>
      <c r="U55" t="str">
        <f>_xlfn.XLOOKUP(G55,'Kraken Trades'!$A$2:$A$28,'Kraken Trades'!$F$2:$F$28,"--",0)</f>
        <v>market</v>
      </c>
      <c r="V55">
        <f>_xlfn.XLOOKUP(G55,'Kraken Trades'!$A$2:$A$28,'Kraken Trades'!$G$2:$G$28,"--",0)</f>
        <v>0.36706496</v>
      </c>
      <c r="W55">
        <f>_xlfn.XLOOKUP(G55,'Kraken Trades'!$A$2:$A$28,'Kraken Trades'!$H$2:$H$28,"--",0)</f>
        <v>256.94546889999998</v>
      </c>
      <c r="X55">
        <f>_xlfn.XLOOKUP(G55,'Kraken Trades'!$A$2:$A$28,'Kraken Trades'!$I$2:$I$28,"--",0)</f>
        <v>0.66805822000000004</v>
      </c>
      <c r="Y55">
        <f>_xlfn.XLOOKUP(G55,'Kraken Trades'!$A$2:$A$28,'Kraken Trades'!$J$2:$J$28,"--",0)</f>
        <v>700</v>
      </c>
      <c r="Z55">
        <f>_xlfn.XLOOKUP(G55,'Kraken Trades'!$A$2:$A$28,'Kraken Trades'!$K$2:$K$28,"--",0)</f>
        <v>0</v>
      </c>
      <c r="AA55" t="str">
        <f>_xlfn.XLOOKUP(G55,'Kraken Trades'!$A$2:$A$28,'Kraken Trades'!$L$2:$L$28,"--",0)</f>
        <v>initiated</v>
      </c>
      <c r="AB55" t="str">
        <f>_xlfn.XLOOKUP(G55,'Kraken Trades'!$A$2:$A$28,'Kraken Trades'!$M$2:$M$28,"--",0)</f>
        <v>L6SMP6-NDAWR-2UIRQZ,LJDYPI-R6LH7-E2EA6H,LKTWBH-PHKLE-CC24C2</v>
      </c>
    </row>
    <row r="56" spans="2:28" x14ac:dyDescent="0.15">
      <c r="B56" t="s">
        <v>104</v>
      </c>
      <c r="E56" t="str">
        <f>_xlfn.XLOOKUP(D56,'DEST TAGs'!$A$2:$A$5,'DEST TAGs'!$B$2:$B$5,"--",0)</f>
        <v>--</v>
      </c>
      <c r="F56" t="s">
        <v>173</v>
      </c>
      <c r="G56" t="s">
        <v>171</v>
      </c>
      <c r="H56" s="70">
        <v>45007.445833333331</v>
      </c>
      <c r="I56" t="s">
        <v>112</v>
      </c>
      <c r="K56" t="s">
        <v>107</v>
      </c>
      <c r="L56" t="s">
        <v>116</v>
      </c>
      <c r="M56">
        <v>0</v>
      </c>
      <c r="N56">
        <v>82.09</v>
      </c>
      <c r="O56">
        <v>7048.6</v>
      </c>
      <c r="P56" t="str">
        <f>_xlfn.XLOOKUP(G56,'Kraken Trades'!$A$2:$A$28,'Kraken Trades'!$A$2:$A$28,"--",0)</f>
        <v>TVEO4I-KY7HQ-QBBWUM</v>
      </c>
      <c r="Q56" t="str">
        <f>_xlfn.XLOOKUP(G56,'Kraken Trades'!$A$2:$A$28,'Kraken Trades'!$B$2:$B$28,"--",0)</f>
        <v>OXYUXG-MWUSN-R5UQHK</v>
      </c>
      <c r="R56" t="str">
        <f>_xlfn.XLOOKUP(G56,'Kraken Trades'!$A$2:$A$28,'Kraken Trades'!$C$2:$C$28,"--",0)</f>
        <v>XRPGBP</v>
      </c>
      <c r="S56">
        <f>_xlfn.XLOOKUP(G56,'Kraken Trades'!$A$2:$A$28,'Kraken Trades'!$D$2:$D$28,"--",0)</f>
        <v>2.9686342592592594E-2</v>
      </c>
      <c r="T56" t="str">
        <f>_xlfn.XLOOKUP(G56,'Kraken Trades'!$A$2:$A$28,'Kraken Trades'!$E$2:$E$28,"--",0)</f>
        <v>buy</v>
      </c>
      <c r="U56" t="str">
        <f>_xlfn.XLOOKUP(G56,'Kraken Trades'!$A$2:$A$28,'Kraken Trades'!$F$2:$F$28,"--",0)</f>
        <v>market</v>
      </c>
      <c r="V56">
        <f>_xlfn.XLOOKUP(G56,'Kraken Trades'!$A$2:$A$28,'Kraken Trades'!$G$2:$G$28,"--",0)</f>
        <v>0.36706496</v>
      </c>
      <c r="W56">
        <f>_xlfn.XLOOKUP(G56,'Kraken Trades'!$A$2:$A$28,'Kraken Trades'!$H$2:$H$28,"--",0)</f>
        <v>256.94546889999998</v>
      </c>
      <c r="X56">
        <f>_xlfn.XLOOKUP(G56,'Kraken Trades'!$A$2:$A$28,'Kraken Trades'!$I$2:$I$28,"--",0)</f>
        <v>0.66805822000000004</v>
      </c>
      <c r="Y56">
        <f>_xlfn.XLOOKUP(G56,'Kraken Trades'!$A$2:$A$28,'Kraken Trades'!$J$2:$J$28,"--",0)</f>
        <v>700</v>
      </c>
      <c r="Z56">
        <f>_xlfn.XLOOKUP(G56,'Kraken Trades'!$A$2:$A$28,'Kraken Trades'!$K$2:$K$28,"--",0)</f>
        <v>0</v>
      </c>
      <c r="AA56" t="str">
        <f>_xlfn.XLOOKUP(G56,'Kraken Trades'!$A$2:$A$28,'Kraken Trades'!$L$2:$L$28,"--",0)</f>
        <v>initiated</v>
      </c>
      <c r="AB56" t="str">
        <f>_xlfn.XLOOKUP(G56,'Kraken Trades'!$A$2:$A$28,'Kraken Trades'!$M$2:$M$28,"--",0)</f>
        <v>L6SMP6-NDAWR-2UIRQZ,LJDYPI-R6LH7-E2EA6H,LKTWBH-PHKLE-CC24C2</v>
      </c>
    </row>
    <row r="57" spans="2:28" x14ac:dyDescent="0.15">
      <c r="B57" t="s">
        <v>104</v>
      </c>
      <c r="E57" t="str">
        <f>_xlfn.XLOOKUP(D57,'DEST TAGs'!$A$2:$A$5,'DEST TAGs'!$B$2:$B$5,"--",0)</f>
        <v>--</v>
      </c>
      <c r="G57" t="s">
        <v>174</v>
      </c>
      <c r="H57" s="70">
        <v>45007.446527777778</v>
      </c>
      <c r="I57" t="s">
        <v>118</v>
      </c>
      <c r="K57" t="s">
        <v>107</v>
      </c>
      <c r="L57" t="s">
        <v>114</v>
      </c>
      <c r="M57">
        <v>-700</v>
      </c>
      <c r="N57">
        <v>0.02</v>
      </c>
      <c r="P57" t="str">
        <f>_xlfn.XLOOKUP(G57,'Kraken Trades'!$A$2:$A$28,'Kraken Trades'!$A$2:$A$28,"--",0)</f>
        <v>--</v>
      </c>
      <c r="Q57" t="str">
        <f>_xlfn.XLOOKUP(G57,'Kraken Trades'!$A$2:$A$28,'Kraken Trades'!$B$2:$B$28,"--",0)</f>
        <v>--</v>
      </c>
      <c r="R57" t="str">
        <f>_xlfn.XLOOKUP(G57,'Kraken Trades'!$A$2:$A$28,'Kraken Trades'!$C$2:$C$28,"--",0)</f>
        <v>--</v>
      </c>
      <c r="S57" t="str">
        <f>_xlfn.XLOOKUP(G57,'Kraken Trades'!$A$2:$A$28,'Kraken Trades'!$D$2:$D$28,"--",0)</f>
        <v>--</v>
      </c>
      <c r="T57" t="str">
        <f>_xlfn.XLOOKUP(G57,'Kraken Trades'!$A$2:$A$28,'Kraken Trades'!$E$2:$E$28,"--",0)</f>
        <v>--</v>
      </c>
      <c r="U57" t="str">
        <f>_xlfn.XLOOKUP(G57,'Kraken Trades'!$A$2:$A$28,'Kraken Trades'!$F$2:$F$28,"--",0)</f>
        <v>--</v>
      </c>
      <c r="V57" t="str">
        <f>_xlfn.XLOOKUP(G57,'Kraken Trades'!$A$2:$A$28,'Kraken Trades'!$G$2:$G$28,"--",0)</f>
        <v>--</v>
      </c>
      <c r="W57" t="str">
        <f>_xlfn.XLOOKUP(G57,'Kraken Trades'!$A$2:$A$28,'Kraken Trades'!$H$2:$H$28,"--",0)</f>
        <v>--</v>
      </c>
      <c r="X57" t="str">
        <f>_xlfn.XLOOKUP(G57,'Kraken Trades'!$A$2:$A$28,'Kraken Trades'!$I$2:$I$28,"--",0)</f>
        <v>--</v>
      </c>
      <c r="Y57" t="str">
        <f>_xlfn.XLOOKUP(G57,'Kraken Trades'!$A$2:$A$28,'Kraken Trades'!$J$2:$J$28,"--",0)</f>
        <v>--</v>
      </c>
      <c r="Z57" t="str">
        <f>_xlfn.XLOOKUP(G57,'Kraken Trades'!$A$2:$A$28,'Kraken Trades'!$K$2:$K$28,"--",0)</f>
        <v>--</v>
      </c>
      <c r="AA57" t="str">
        <f>_xlfn.XLOOKUP(G57,'Kraken Trades'!$A$2:$A$28,'Kraken Trades'!$L$2:$L$28,"--",0)</f>
        <v>--</v>
      </c>
      <c r="AB57" t="str">
        <f>_xlfn.XLOOKUP(G57,'Kraken Trades'!$A$2:$A$28,'Kraken Trades'!$M$2:$M$28,"--",0)</f>
        <v>--</v>
      </c>
    </row>
    <row r="58" spans="2:28" x14ac:dyDescent="0.15">
      <c r="B58" t="s">
        <v>104</v>
      </c>
      <c r="E58" t="str">
        <f>_xlfn.XLOOKUP(D58,'DEST TAGs'!$A$2:$A$5,'DEST TAGs'!$B$2:$B$5,"--",0)</f>
        <v>--</v>
      </c>
      <c r="F58" t="s">
        <v>175</v>
      </c>
      <c r="G58" t="s">
        <v>174</v>
      </c>
      <c r="H58" s="70">
        <v>45007.447916666664</v>
      </c>
      <c r="I58" t="s">
        <v>118</v>
      </c>
      <c r="K58" t="s">
        <v>107</v>
      </c>
      <c r="L58" t="s">
        <v>114</v>
      </c>
      <c r="M58">
        <v>-700</v>
      </c>
      <c r="N58">
        <v>0.02</v>
      </c>
      <c r="O58">
        <v>0.82944333999999997</v>
      </c>
      <c r="P58" t="str">
        <f>_xlfn.XLOOKUP(G58,'Kraken Trades'!$A$2:$A$28,'Kraken Trades'!$A$2:$A$28,"--",0)</f>
        <v>--</v>
      </c>
      <c r="Q58" t="str">
        <f>_xlfn.XLOOKUP(G58,'Kraken Trades'!$A$2:$A$28,'Kraken Trades'!$B$2:$B$28,"--",0)</f>
        <v>--</v>
      </c>
      <c r="R58" t="str">
        <f>_xlfn.XLOOKUP(G58,'Kraken Trades'!$A$2:$A$28,'Kraken Trades'!$C$2:$C$28,"--",0)</f>
        <v>--</v>
      </c>
      <c r="S58" t="str">
        <f>_xlfn.XLOOKUP(G58,'Kraken Trades'!$A$2:$A$28,'Kraken Trades'!$D$2:$D$28,"--",0)</f>
        <v>--</v>
      </c>
      <c r="T58" t="str">
        <f>_xlfn.XLOOKUP(G58,'Kraken Trades'!$A$2:$A$28,'Kraken Trades'!$E$2:$E$28,"--",0)</f>
        <v>--</v>
      </c>
      <c r="U58" t="str">
        <f>_xlfn.XLOOKUP(G58,'Kraken Trades'!$A$2:$A$28,'Kraken Trades'!$F$2:$F$28,"--",0)</f>
        <v>--</v>
      </c>
      <c r="V58" t="str">
        <f>_xlfn.XLOOKUP(G58,'Kraken Trades'!$A$2:$A$28,'Kraken Trades'!$G$2:$G$28,"--",0)</f>
        <v>--</v>
      </c>
      <c r="W58" t="str">
        <f>_xlfn.XLOOKUP(G58,'Kraken Trades'!$A$2:$A$28,'Kraken Trades'!$H$2:$H$28,"--",0)</f>
        <v>--</v>
      </c>
      <c r="X58" t="str">
        <f>_xlfn.XLOOKUP(G58,'Kraken Trades'!$A$2:$A$28,'Kraken Trades'!$I$2:$I$28,"--",0)</f>
        <v>--</v>
      </c>
      <c r="Y58" t="str">
        <f>_xlfn.XLOOKUP(G58,'Kraken Trades'!$A$2:$A$28,'Kraken Trades'!$J$2:$J$28,"--",0)</f>
        <v>--</v>
      </c>
      <c r="Z58" t="str">
        <f>_xlfn.XLOOKUP(G58,'Kraken Trades'!$A$2:$A$28,'Kraken Trades'!$K$2:$K$28,"--",0)</f>
        <v>--</v>
      </c>
      <c r="AA58" t="str">
        <f>_xlfn.XLOOKUP(G58,'Kraken Trades'!$A$2:$A$28,'Kraken Trades'!$L$2:$L$28,"--",0)</f>
        <v>--</v>
      </c>
      <c r="AB58" t="str">
        <f>_xlfn.XLOOKUP(G58,'Kraken Trades'!$A$2:$A$28,'Kraken Trades'!$M$2:$M$28,"--",0)</f>
        <v>--</v>
      </c>
    </row>
    <row r="59" spans="2:28" x14ac:dyDescent="0.15">
      <c r="B59" t="s">
        <v>104</v>
      </c>
      <c r="E59" t="str">
        <f>_xlfn.XLOOKUP(D59,'DEST TAGs'!$A$2:$A$5,'DEST TAGs'!$B$2:$B$5,"--",0)</f>
        <v>--</v>
      </c>
      <c r="G59" t="s">
        <v>176</v>
      </c>
      <c r="H59" s="70">
        <v>45010.382638888892</v>
      </c>
      <c r="I59" t="s">
        <v>106</v>
      </c>
      <c r="K59" t="s">
        <v>107</v>
      </c>
      <c r="L59" t="s">
        <v>108</v>
      </c>
      <c r="M59">
        <v>1500</v>
      </c>
      <c r="N59">
        <v>0</v>
      </c>
      <c r="P59" t="str">
        <f>_xlfn.XLOOKUP(G59,'Kraken Trades'!$A$2:$A$28,'Kraken Trades'!$A$2:$A$28,"--",0)</f>
        <v>--</v>
      </c>
      <c r="Q59" t="str">
        <f>_xlfn.XLOOKUP(G59,'Kraken Trades'!$A$2:$A$28,'Kraken Trades'!$B$2:$B$28,"--",0)</f>
        <v>--</v>
      </c>
      <c r="R59" t="str">
        <f>_xlfn.XLOOKUP(G59,'Kraken Trades'!$A$2:$A$28,'Kraken Trades'!$C$2:$C$28,"--",0)</f>
        <v>--</v>
      </c>
      <c r="S59" t="str">
        <f>_xlfn.XLOOKUP(G59,'Kraken Trades'!$A$2:$A$28,'Kraken Trades'!$D$2:$D$28,"--",0)</f>
        <v>--</v>
      </c>
      <c r="T59" t="str">
        <f>_xlfn.XLOOKUP(G59,'Kraken Trades'!$A$2:$A$28,'Kraken Trades'!$E$2:$E$28,"--",0)</f>
        <v>--</v>
      </c>
      <c r="U59" t="str">
        <f>_xlfn.XLOOKUP(G59,'Kraken Trades'!$A$2:$A$28,'Kraken Trades'!$F$2:$F$28,"--",0)</f>
        <v>--</v>
      </c>
      <c r="V59" t="str">
        <f>_xlfn.XLOOKUP(G59,'Kraken Trades'!$A$2:$A$28,'Kraken Trades'!$G$2:$G$28,"--",0)</f>
        <v>--</v>
      </c>
      <c r="W59" t="str">
        <f>_xlfn.XLOOKUP(G59,'Kraken Trades'!$A$2:$A$28,'Kraken Trades'!$H$2:$H$28,"--",0)</f>
        <v>--</v>
      </c>
      <c r="X59" t="str">
        <f>_xlfn.XLOOKUP(G59,'Kraken Trades'!$A$2:$A$28,'Kraken Trades'!$I$2:$I$28,"--",0)</f>
        <v>--</v>
      </c>
      <c r="Y59" t="str">
        <f>_xlfn.XLOOKUP(G59,'Kraken Trades'!$A$2:$A$28,'Kraken Trades'!$J$2:$J$28,"--",0)</f>
        <v>--</v>
      </c>
      <c r="Z59" t="str">
        <f>_xlfn.XLOOKUP(G59,'Kraken Trades'!$A$2:$A$28,'Kraken Trades'!$K$2:$K$28,"--",0)</f>
        <v>--</v>
      </c>
      <c r="AA59" t="str">
        <f>_xlfn.XLOOKUP(G59,'Kraken Trades'!$A$2:$A$28,'Kraken Trades'!$L$2:$L$28,"--",0)</f>
        <v>--</v>
      </c>
      <c r="AB59" t="str">
        <f>_xlfn.XLOOKUP(G59,'Kraken Trades'!$A$2:$A$28,'Kraken Trades'!$M$2:$M$28,"--",0)</f>
        <v>--</v>
      </c>
    </row>
    <row r="60" spans="2:28" x14ac:dyDescent="0.15">
      <c r="B60" t="s">
        <v>104</v>
      </c>
      <c r="E60" t="str">
        <f>_xlfn.XLOOKUP(D60,'DEST TAGs'!$A$2:$A$5,'DEST TAGs'!$B$2:$B$5,"--",0)</f>
        <v>--</v>
      </c>
      <c r="F60" t="s">
        <v>177</v>
      </c>
      <c r="G60" t="s">
        <v>176</v>
      </c>
      <c r="H60" s="70">
        <v>45010.529166666667</v>
      </c>
      <c r="I60" t="s">
        <v>106</v>
      </c>
      <c r="K60" t="s">
        <v>107</v>
      </c>
      <c r="L60" t="s">
        <v>108</v>
      </c>
      <c r="M60">
        <v>1500</v>
      </c>
      <c r="N60">
        <v>0</v>
      </c>
      <c r="O60">
        <v>1518.1233999999999</v>
      </c>
      <c r="P60" t="str">
        <f>_xlfn.XLOOKUP(G60,'Kraken Trades'!$A$2:$A$28,'Kraken Trades'!$A$2:$A$28,"--",0)</f>
        <v>--</v>
      </c>
      <c r="Q60" t="str">
        <f>_xlfn.XLOOKUP(G60,'Kraken Trades'!$A$2:$A$28,'Kraken Trades'!$B$2:$B$28,"--",0)</f>
        <v>--</v>
      </c>
      <c r="R60" t="str">
        <f>_xlfn.XLOOKUP(G60,'Kraken Trades'!$A$2:$A$28,'Kraken Trades'!$C$2:$C$28,"--",0)</f>
        <v>--</v>
      </c>
      <c r="S60" t="str">
        <f>_xlfn.XLOOKUP(G60,'Kraken Trades'!$A$2:$A$28,'Kraken Trades'!$D$2:$D$28,"--",0)</f>
        <v>--</v>
      </c>
      <c r="T60" t="str">
        <f>_xlfn.XLOOKUP(G60,'Kraken Trades'!$A$2:$A$28,'Kraken Trades'!$E$2:$E$28,"--",0)</f>
        <v>--</v>
      </c>
      <c r="U60" t="str">
        <f>_xlfn.XLOOKUP(G60,'Kraken Trades'!$A$2:$A$28,'Kraken Trades'!$F$2:$F$28,"--",0)</f>
        <v>--</v>
      </c>
      <c r="V60" t="str">
        <f>_xlfn.XLOOKUP(G60,'Kraken Trades'!$A$2:$A$28,'Kraken Trades'!$G$2:$G$28,"--",0)</f>
        <v>--</v>
      </c>
      <c r="W60" t="str">
        <f>_xlfn.XLOOKUP(G60,'Kraken Trades'!$A$2:$A$28,'Kraken Trades'!$H$2:$H$28,"--",0)</f>
        <v>--</v>
      </c>
      <c r="X60" t="str">
        <f>_xlfn.XLOOKUP(G60,'Kraken Trades'!$A$2:$A$28,'Kraken Trades'!$I$2:$I$28,"--",0)</f>
        <v>--</v>
      </c>
      <c r="Y60" t="str">
        <f>_xlfn.XLOOKUP(G60,'Kraken Trades'!$A$2:$A$28,'Kraken Trades'!$J$2:$J$28,"--",0)</f>
        <v>--</v>
      </c>
      <c r="Z60" t="str">
        <f>_xlfn.XLOOKUP(G60,'Kraken Trades'!$A$2:$A$28,'Kraken Trades'!$K$2:$K$28,"--",0)</f>
        <v>--</v>
      </c>
      <c r="AA60" t="str">
        <f>_xlfn.XLOOKUP(G60,'Kraken Trades'!$A$2:$A$28,'Kraken Trades'!$L$2:$L$28,"--",0)</f>
        <v>--</v>
      </c>
      <c r="AB60" t="str">
        <f>_xlfn.XLOOKUP(G60,'Kraken Trades'!$A$2:$A$28,'Kraken Trades'!$M$2:$M$28,"--",0)</f>
        <v>--</v>
      </c>
    </row>
    <row r="61" spans="2:28" x14ac:dyDescent="0.15">
      <c r="B61" t="s">
        <v>104</v>
      </c>
      <c r="E61" t="str">
        <f>_xlfn.XLOOKUP(D61,'DEST TAGs'!$A$2:$A$5,'DEST TAGs'!$B$2:$B$5,"--",0)</f>
        <v>--</v>
      </c>
      <c r="F61" t="s">
        <v>178</v>
      </c>
      <c r="G61" t="s">
        <v>179</v>
      </c>
      <c r="H61" s="70">
        <v>45010.543749999997</v>
      </c>
      <c r="I61" t="s">
        <v>112</v>
      </c>
      <c r="K61" t="s">
        <v>107</v>
      </c>
      <c r="L61" t="s">
        <v>108</v>
      </c>
      <c r="M61">
        <v>-1327.7607</v>
      </c>
      <c r="N61">
        <v>0</v>
      </c>
      <c r="O61">
        <v>190.36269999999999</v>
      </c>
      <c r="P61" t="str">
        <f>_xlfn.XLOOKUP(G61,'Kraken Trades'!$A$2:$A$28,'Kraken Trades'!$A$2:$A$28,"--",0)</f>
        <v>TDGV6W-7Q63J-E4QJW6</v>
      </c>
      <c r="Q61" t="str">
        <f>_xlfn.XLOOKUP(G61,'Kraken Trades'!$A$2:$A$28,'Kraken Trades'!$B$2:$B$28,"--",0)</f>
        <v>O3ZHGF-QQMXC-EVF2YX</v>
      </c>
      <c r="R61" t="str">
        <f>_xlfn.XLOOKUP(G61,'Kraken Trades'!$A$2:$A$28,'Kraken Trades'!$C$2:$C$28,"--",0)</f>
        <v>XRPGBP</v>
      </c>
      <c r="S61">
        <f>_xlfn.XLOOKUP(G61,'Kraken Trades'!$A$2:$A$28,'Kraken Trades'!$D$2:$D$28,"--",0)</f>
        <v>2.7754629629629626E-3</v>
      </c>
      <c r="T61" t="str">
        <f>_xlfn.XLOOKUP(G61,'Kraken Trades'!$A$2:$A$28,'Kraken Trades'!$E$2:$E$28,"--",0)</f>
        <v>buy</v>
      </c>
      <c r="U61" t="str">
        <f>_xlfn.XLOOKUP(G61,'Kraken Trades'!$A$2:$A$28,'Kraken Trades'!$F$2:$F$28,"--",0)</f>
        <v>market</v>
      </c>
      <c r="V61">
        <f>_xlfn.XLOOKUP(G61,'Kraken Trades'!$A$2:$A$28,'Kraken Trades'!$G$2:$G$28,"--",0)</f>
        <v>0.36426905999999998</v>
      </c>
      <c r="W61">
        <f>_xlfn.XLOOKUP(G61,'Kraken Trades'!$A$2:$A$28,'Kraken Trades'!$H$2:$H$28,"--",0)</f>
        <v>1327.7607069999999</v>
      </c>
      <c r="X61">
        <f>_xlfn.XLOOKUP(G61,'Kraken Trades'!$A$2:$A$28,'Kraken Trades'!$I$2:$I$28,"--",0)</f>
        <v>3.4521778300000001</v>
      </c>
      <c r="Y61">
        <f>_xlfn.XLOOKUP(G61,'Kraken Trades'!$A$2:$A$28,'Kraken Trades'!$J$2:$J$28,"--",0)</f>
        <v>3645</v>
      </c>
      <c r="Z61">
        <f>_xlfn.XLOOKUP(G61,'Kraken Trades'!$A$2:$A$28,'Kraken Trades'!$K$2:$K$28,"--",0)</f>
        <v>0</v>
      </c>
      <c r="AA61" t="str">
        <f>_xlfn.XLOOKUP(G61,'Kraken Trades'!$A$2:$A$28,'Kraken Trades'!$L$2:$L$28,"--",0)</f>
        <v>initiated</v>
      </c>
      <c r="AB61" t="str">
        <f>_xlfn.XLOOKUP(G61,'Kraken Trades'!$A$2:$A$28,'Kraken Trades'!$M$2:$M$28,"--",0)</f>
        <v>L6W2JN-Z6XBJ-36ZUNE,LU2EIK-LAETH-JD4F56,LBOVA7-4FOSU-VDWKFU</v>
      </c>
    </row>
    <row r="62" spans="2:28" x14ac:dyDescent="0.15">
      <c r="B62" t="s">
        <v>104</v>
      </c>
      <c r="E62" t="str">
        <f>_xlfn.XLOOKUP(D62,'DEST TAGs'!$A$2:$A$5,'DEST TAGs'!$B$2:$B$5,"--",0)</f>
        <v>--</v>
      </c>
      <c r="F62" t="s">
        <v>180</v>
      </c>
      <c r="G62" t="s">
        <v>179</v>
      </c>
      <c r="H62" s="70">
        <v>45010.543749999997</v>
      </c>
      <c r="I62" t="s">
        <v>112</v>
      </c>
      <c r="K62" t="s">
        <v>107</v>
      </c>
      <c r="L62" t="s">
        <v>114</v>
      </c>
      <c r="M62">
        <v>3645</v>
      </c>
      <c r="N62">
        <v>0</v>
      </c>
      <c r="O62">
        <v>3645.8294430000001</v>
      </c>
      <c r="P62" t="str">
        <f>_xlfn.XLOOKUP(G62,'Kraken Trades'!$A$2:$A$28,'Kraken Trades'!$A$2:$A$28,"--",0)</f>
        <v>TDGV6W-7Q63J-E4QJW6</v>
      </c>
      <c r="Q62" t="str">
        <f>_xlfn.XLOOKUP(G62,'Kraken Trades'!$A$2:$A$28,'Kraken Trades'!$B$2:$B$28,"--",0)</f>
        <v>O3ZHGF-QQMXC-EVF2YX</v>
      </c>
      <c r="R62" t="str">
        <f>_xlfn.XLOOKUP(G62,'Kraken Trades'!$A$2:$A$28,'Kraken Trades'!$C$2:$C$28,"--",0)</f>
        <v>XRPGBP</v>
      </c>
      <c r="S62">
        <f>_xlfn.XLOOKUP(G62,'Kraken Trades'!$A$2:$A$28,'Kraken Trades'!$D$2:$D$28,"--",0)</f>
        <v>2.7754629629629626E-3</v>
      </c>
      <c r="T62" t="str">
        <f>_xlfn.XLOOKUP(G62,'Kraken Trades'!$A$2:$A$28,'Kraken Trades'!$E$2:$E$28,"--",0)</f>
        <v>buy</v>
      </c>
      <c r="U62" t="str">
        <f>_xlfn.XLOOKUP(G62,'Kraken Trades'!$A$2:$A$28,'Kraken Trades'!$F$2:$F$28,"--",0)</f>
        <v>market</v>
      </c>
      <c r="V62">
        <f>_xlfn.XLOOKUP(G62,'Kraken Trades'!$A$2:$A$28,'Kraken Trades'!$G$2:$G$28,"--",0)</f>
        <v>0.36426905999999998</v>
      </c>
      <c r="W62">
        <f>_xlfn.XLOOKUP(G62,'Kraken Trades'!$A$2:$A$28,'Kraken Trades'!$H$2:$H$28,"--",0)</f>
        <v>1327.7607069999999</v>
      </c>
      <c r="X62">
        <f>_xlfn.XLOOKUP(G62,'Kraken Trades'!$A$2:$A$28,'Kraken Trades'!$I$2:$I$28,"--",0)</f>
        <v>3.4521778300000001</v>
      </c>
      <c r="Y62">
        <f>_xlfn.XLOOKUP(G62,'Kraken Trades'!$A$2:$A$28,'Kraken Trades'!$J$2:$J$28,"--",0)</f>
        <v>3645</v>
      </c>
      <c r="Z62">
        <f>_xlfn.XLOOKUP(G62,'Kraken Trades'!$A$2:$A$28,'Kraken Trades'!$K$2:$K$28,"--",0)</f>
        <v>0</v>
      </c>
      <c r="AA62" t="str">
        <f>_xlfn.XLOOKUP(G62,'Kraken Trades'!$A$2:$A$28,'Kraken Trades'!$L$2:$L$28,"--",0)</f>
        <v>initiated</v>
      </c>
      <c r="AB62" t="str">
        <f>_xlfn.XLOOKUP(G62,'Kraken Trades'!$A$2:$A$28,'Kraken Trades'!$M$2:$M$28,"--",0)</f>
        <v>L6W2JN-Z6XBJ-36ZUNE,LU2EIK-LAETH-JD4F56,LBOVA7-4FOSU-VDWKFU</v>
      </c>
    </row>
    <row r="63" spans="2:28" x14ac:dyDescent="0.15">
      <c r="B63" t="s">
        <v>104</v>
      </c>
      <c r="E63" t="str">
        <f>_xlfn.XLOOKUP(D63,'DEST TAGs'!$A$2:$A$5,'DEST TAGs'!$B$2:$B$5,"--",0)</f>
        <v>--</v>
      </c>
      <c r="F63" t="s">
        <v>181</v>
      </c>
      <c r="G63" t="s">
        <v>179</v>
      </c>
      <c r="H63" s="70">
        <v>45010.543749999997</v>
      </c>
      <c r="I63" t="s">
        <v>112</v>
      </c>
      <c r="K63" t="s">
        <v>107</v>
      </c>
      <c r="L63" t="s">
        <v>116</v>
      </c>
      <c r="M63">
        <v>0</v>
      </c>
      <c r="N63">
        <v>422.23</v>
      </c>
      <c r="O63">
        <v>6626.37</v>
      </c>
      <c r="P63" t="str">
        <f>_xlfn.XLOOKUP(G63,'Kraken Trades'!$A$2:$A$28,'Kraken Trades'!$A$2:$A$28,"--",0)</f>
        <v>TDGV6W-7Q63J-E4QJW6</v>
      </c>
      <c r="Q63" t="str">
        <f>_xlfn.XLOOKUP(G63,'Kraken Trades'!$A$2:$A$28,'Kraken Trades'!$B$2:$B$28,"--",0)</f>
        <v>O3ZHGF-QQMXC-EVF2YX</v>
      </c>
      <c r="R63" t="str">
        <f>_xlfn.XLOOKUP(G63,'Kraken Trades'!$A$2:$A$28,'Kraken Trades'!$C$2:$C$28,"--",0)</f>
        <v>XRPGBP</v>
      </c>
      <c r="S63">
        <f>_xlfn.XLOOKUP(G63,'Kraken Trades'!$A$2:$A$28,'Kraken Trades'!$D$2:$D$28,"--",0)</f>
        <v>2.7754629629629626E-3</v>
      </c>
      <c r="T63" t="str">
        <f>_xlfn.XLOOKUP(G63,'Kraken Trades'!$A$2:$A$28,'Kraken Trades'!$E$2:$E$28,"--",0)</f>
        <v>buy</v>
      </c>
      <c r="U63" t="str">
        <f>_xlfn.XLOOKUP(G63,'Kraken Trades'!$A$2:$A$28,'Kraken Trades'!$F$2:$F$28,"--",0)</f>
        <v>market</v>
      </c>
      <c r="V63">
        <f>_xlfn.XLOOKUP(G63,'Kraken Trades'!$A$2:$A$28,'Kraken Trades'!$G$2:$G$28,"--",0)</f>
        <v>0.36426905999999998</v>
      </c>
      <c r="W63">
        <f>_xlfn.XLOOKUP(G63,'Kraken Trades'!$A$2:$A$28,'Kraken Trades'!$H$2:$H$28,"--",0)</f>
        <v>1327.7607069999999</v>
      </c>
      <c r="X63">
        <f>_xlfn.XLOOKUP(G63,'Kraken Trades'!$A$2:$A$28,'Kraken Trades'!$I$2:$I$28,"--",0)</f>
        <v>3.4521778300000001</v>
      </c>
      <c r="Y63">
        <f>_xlfn.XLOOKUP(G63,'Kraken Trades'!$A$2:$A$28,'Kraken Trades'!$J$2:$J$28,"--",0)</f>
        <v>3645</v>
      </c>
      <c r="Z63">
        <f>_xlfn.XLOOKUP(G63,'Kraken Trades'!$A$2:$A$28,'Kraken Trades'!$K$2:$K$28,"--",0)</f>
        <v>0</v>
      </c>
      <c r="AA63" t="str">
        <f>_xlfn.XLOOKUP(G63,'Kraken Trades'!$A$2:$A$28,'Kraken Trades'!$L$2:$L$28,"--",0)</f>
        <v>initiated</v>
      </c>
      <c r="AB63" t="str">
        <f>_xlfn.XLOOKUP(G63,'Kraken Trades'!$A$2:$A$28,'Kraken Trades'!$M$2:$M$28,"--",0)</f>
        <v>L6W2JN-Z6XBJ-36ZUNE,LU2EIK-LAETH-JD4F56,LBOVA7-4FOSU-VDWKFU</v>
      </c>
    </row>
    <row r="64" spans="2:28" x14ac:dyDescent="0.15">
      <c r="B64" t="s">
        <v>104</v>
      </c>
      <c r="E64" t="str">
        <f>_xlfn.XLOOKUP(D64,'DEST TAGs'!$A$2:$A$5,'DEST TAGs'!$B$2:$B$5,"--",0)</f>
        <v>--</v>
      </c>
      <c r="G64" t="s">
        <v>182</v>
      </c>
      <c r="H64" s="70">
        <v>45010.544444444444</v>
      </c>
      <c r="I64" t="s">
        <v>118</v>
      </c>
      <c r="K64" t="s">
        <v>107</v>
      </c>
      <c r="L64" t="s">
        <v>114</v>
      </c>
      <c r="M64">
        <v>-3645</v>
      </c>
      <c r="N64">
        <v>0.02</v>
      </c>
      <c r="P64" t="str">
        <f>_xlfn.XLOOKUP(G64,'Kraken Trades'!$A$2:$A$28,'Kraken Trades'!$A$2:$A$28,"--",0)</f>
        <v>--</v>
      </c>
      <c r="Q64" t="str">
        <f>_xlfn.XLOOKUP(G64,'Kraken Trades'!$A$2:$A$28,'Kraken Trades'!$B$2:$B$28,"--",0)</f>
        <v>--</v>
      </c>
      <c r="R64" t="str">
        <f>_xlfn.XLOOKUP(G64,'Kraken Trades'!$A$2:$A$28,'Kraken Trades'!$C$2:$C$28,"--",0)</f>
        <v>--</v>
      </c>
      <c r="S64" t="str">
        <f>_xlfn.XLOOKUP(G64,'Kraken Trades'!$A$2:$A$28,'Kraken Trades'!$D$2:$D$28,"--",0)</f>
        <v>--</v>
      </c>
      <c r="T64" t="str">
        <f>_xlfn.XLOOKUP(G64,'Kraken Trades'!$A$2:$A$28,'Kraken Trades'!$E$2:$E$28,"--",0)</f>
        <v>--</v>
      </c>
      <c r="U64" t="str">
        <f>_xlfn.XLOOKUP(G64,'Kraken Trades'!$A$2:$A$28,'Kraken Trades'!$F$2:$F$28,"--",0)</f>
        <v>--</v>
      </c>
      <c r="V64" t="str">
        <f>_xlfn.XLOOKUP(G64,'Kraken Trades'!$A$2:$A$28,'Kraken Trades'!$G$2:$G$28,"--",0)</f>
        <v>--</v>
      </c>
      <c r="W64" t="str">
        <f>_xlfn.XLOOKUP(G64,'Kraken Trades'!$A$2:$A$28,'Kraken Trades'!$H$2:$H$28,"--",0)</f>
        <v>--</v>
      </c>
      <c r="X64" t="str">
        <f>_xlfn.XLOOKUP(G64,'Kraken Trades'!$A$2:$A$28,'Kraken Trades'!$I$2:$I$28,"--",0)</f>
        <v>--</v>
      </c>
      <c r="Y64" t="str">
        <f>_xlfn.XLOOKUP(G64,'Kraken Trades'!$A$2:$A$28,'Kraken Trades'!$J$2:$J$28,"--",0)</f>
        <v>--</v>
      </c>
      <c r="Z64" t="str">
        <f>_xlfn.XLOOKUP(G64,'Kraken Trades'!$A$2:$A$28,'Kraken Trades'!$K$2:$K$28,"--",0)</f>
        <v>--</v>
      </c>
      <c r="AA64" t="str">
        <f>_xlfn.XLOOKUP(G64,'Kraken Trades'!$A$2:$A$28,'Kraken Trades'!$L$2:$L$28,"--",0)</f>
        <v>--</v>
      </c>
      <c r="AB64" t="str">
        <f>_xlfn.XLOOKUP(G64,'Kraken Trades'!$A$2:$A$28,'Kraken Trades'!$M$2:$M$28,"--",0)</f>
        <v>--</v>
      </c>
    </row>
    <row r="65" spans="1:28" x14ac:dyDescent="0.15">
      <c r="B65" t="s">
        <v>104</v>
      </c>
      <c r="E65" t="str">
        <f>_xlfn.XLOOKUP(D65,'DEST TAGs'!$A$2:$A$5,'DEST TAGs'!$B$2:$B$5,"--",0)</f>
        <v>--</v>
      </c>
      <c r="F65" t="s">
        <v>183</v>
      </c>
      <c r="G65" t="s">
        <v>182</v>
      </c>
      <c r="H65" s="70">
        <v>45010.54583333333</v>
      </c>
      <c r="I65" t="s">
        <v>118</v>
      </c>
      <c r="K65" t="s">
        <v>107</v>
      </c>
      <c r="L65" t="s">
        <v>114</v>
      </c>
      <c r="M65">
        <v>-3645</v>
      </c>
      <c r="N65">
        <v>0.02</v>
      </c>
      <c r="O65">
        <v>0.80944333999999996</v>
      </c>
      <c r="P65" t="str">
        <f>_xlfn.XLOOKUP(G65,'Kraken Trades'!$A$2:$A$28,'Kraken Trades'!$A$2:$A$28,"--",0)</f>
        <v>--</v>
      </c>
      <c r="Q65" t="str">
        <f>_xlfn.XLOOKUP(G65,'Kraken Trades'!$A$2:$A$28,'Kraken Trades'!$B$2:$B$28,"--",0)</f>
        <v>--</v>
      </c>
      <c r="R65" t="str">
        <f>_xlfn.XLOOKUP(G65,'Kraken Trades'!$A$2:$A$28,'Kraken Trades'!$C$2:$C$28,"--",0)</f>
        <v>--</v>
      </c>
      <c r="S65" t="str">
        <f>_xlfn.XLOOKUP(G65,'Kraken Trades'!$A$2:$A$28,'Kraken Trades'!$D$2:$D$28,"--",0)</f>
        <v>--</v>
      </c>
      <c r="T65" t="str">
        <f>_xlfn.XLOOKUP(G65,'Kraken Trades'!$A$2:$A$28,'Kraken Trades'!$E$2:$E$28,"--",0)</f>
        <v>--</v>
      </c>
      <c r="U65" t="str">
        <f>_xlfn.XLOOKUP(G65,'Kraken Trades'!$A$2:$A$28,'Kraken Trades'!$F$2:$F$28,"--",0)</f>
        <v>--</v>
      </c>
      <c r="V65" t="str">
        <f>_xlfn.XLOOKUP(G65,'Kraken Trades'!$A$2:$A$28,'Kraken Trades'!$G$2:$G$28,"--",0)</f>
        <v>--</v>
      </c>
      <c r="W65" t="str">
        <f>_xlfn.XLOOKUP(G65,'Kraken Trades'!$A$2:$A$28,'Kraken Trades'!$H$2:$H$28,"--",0)</f>
        <v>--</v>
      </c>
      <c r="X65" t="str">
        <f>_xlfn.XLOOKUP(G65,'Kraken Trades'!$A$2:$A$28,'Kraken Trades'!$I$2:$I$28,"--",0)</f>
        <v>--</v>
      </c>
      <c r="Y65" t="str">
        <f>_xlfn.XLOOKUP(G65,'Kraken Trades'!$A$2:$A$28,'Kraken Trades'!$J$2:$J$28,"--",0)</f>
        <v>--</v>
      </c>
      <c r="Z65" t="str">
        <f>_xlfn.XLOOKUP(G65,'Kraken Trades'!$A$2:$A$28,'Kraken Trades'!$K$2:$K$28,"--",0)</f>
        <v>--</v>
      </c>
      <c r="AA65" t="str">
        <f>_xlfn.XLOOKUP(G65,'Kraken Trades'!$A$2:$A$28,'Kraken Trades'!$L$2:$L$28,"--",0)</f>
        <v>--</v>
      </c>
      <c r="AB65" t="str">
        <f>_xlfn.XLOOKUP(G65,'Kraken Trades'!$A$2:$A$28,'Kraken Trades'!$M$2:$M$28,"--",0)</f>
        <v>--</v>
      </c>
    </row>
    <row r="66" spans="1:28" x14ac:dyDescent="0.15">
      <c r="A66" s="78">
        <v>45104</v>
      </c>
      <c r="B66" t="s">
        <v>104</v>
      </c>
      <c r="E66" t="str">
        <f>_xlfn.XLOOKUP(D66,'DEST TAGs'!$A$2:$A$5,'DEST TAGs'!$B$2:$B$5,"--",0)</f>
        <v>--</v>
      </c>
      <c r="G66" t="s">
        <v>184</v>
      </c>
      <c r="H66" s="70">
        <v>45019.452777777777</v>
      </c>
      <c r="I66" t="s">
        <v>106</v>
      </c>
      <c r="K66" t="s">
        <v>107</v>
      </c>
      <c r="L66" t="s">
        <v>108</v>
      </c>
      <c r="M66">
        <v>1550</v>
      </c>
      <c r="N66">
        <v>0</v>
      </c>
      <c r="P66" t="str">
        <f>_xlfn.XLOOKUP(G66,'Kraken Trades'!$A$2:$A$28,'Kraken Trades'!$A$2:$A$28,"--",0)</f>
        <v>--</v>
      </c>
      <c r="Q66" t="str">
        <f>_xlfn.XLOOKUP(G66,'Kraken Trades'!$A$2:$A$28,'Kraken Trades'!$B$2:$B$28,"--",0)</f>
        <v>--</v>
      </c>
      <c r="R66" t="str">
        <f>_xlfn.XLOOKUP(G66,'Kraken Trades'!$A$2:$A$28,'Kraken Trades'!$C$2:$C$28,"--",0)</f>
        <v>--</v>
      </c>
      <c r="S66" t="str">
        <f>_xlfn.XLOOKUP(G66,'Kraken Trades'!$A$2:$A$28,'Kraken Trades'!$D$2:$D$28,"--",0)</f>
        <v>--</v>
      </c>
      <c r="T66" t="str">
        <f>_xlfn.XLOOKUP(G66,'Kraken Trades'!$A$2:$A$28,'Kraken Trades'!$E$2:$E$28,"--",0)</f>
        <v>--</v>
      </c>
      <c r="U66" t="str">
        <f>_xlfn.XLOOKUP(G66,'Kraken Trades'!$A$2:$A$28,'Kraken Trades'!$F$2:$F$28,"--",0)</f>
        <v>--</v>
      </c>
      <c r="V66" t="str">
        <f>_xlfn.XLOOKUP(G66,'Kraken Trades'!$A$2:$A$28,'Kraken Trades'!$G$2:$G$28,"--",0)</f>
        <v>--</v>
      </c>
      <c r="W66" t="str">
        <f>_xlfn.XLOOKUP(G66,'Kraken Trades'!$A$2:$A$28,'Kraken Trades'!$H$2:$H$28,"--",0)</f>
        <v>--</v>
      </c>
      <c r="X66" t="str">
        <f>_xlfn.XLOOKUP(G66,'Kraken Trades'!$A$2:$A$28,'Kraken Trades'!$I$2:$I$28,"--",0)</f>
        <v>--</v>
      </c>
      <c r="Y66" t="str">
        <f>_xlfn.XLOOKUP(G66,'Kraken Trades'!$A$2:$A$28,'Kraken Trades'!$J$2:$J$28,"--",0)</f>
        <v>--</v>
      </c>
      <c r="Z66" t="str">
        <f>_xlfn.XLOOKUP(G66,'Kraken Trades'!$A$2:$A$28,'Kraken Trades'!$K$2:$K$28,"--",0)</f>
        <v>--</v>
      </c>
      <c r="AA66" t="str">
        <f>_xlfn.XLOOKUP(G66,'Kraken Trades'!$A$2:$A$28,'Kraken Trades'!$L$2:$L$28,"--",0)</f>
        <v>--</v>
      </c>
      <c r="AB66" t="str">
        <f>_xlfn.XLOOKUP(G66,'Kraken Trades'!$A$2:$A$28,'Kraken Trades'!$M$2:$M$28,"--",0)</f>
        <v>--</v>
      </c>
    </row>
    <row r="67" spans="1:28" x14ac:dyDescent="0.15">
      <c r="A67" s="78">
        <v>45104</v>
      </c>
      <c r="B67" t="s">
        <v>104</v>
      </c>
      <c r="E67" t="str">
        <f>_xlfn.XLOOKUP(D67,'DEST TAGs'!$A$2:$A$5,'DEST TAGs'!$B$2:$B$5,"--",0)</f>
        <v>--</v>
      </c>
      <c r="F67" t="s">
        <v>185</v>
      </c>
      <c r="G67" t="s">
        <v>184</v>
      </c>
      <c r="H67" s="70">
        <v>45019.479166666664</v>
      </c>
      <c r="I67" t="s">
        <v>106</v>
      </c>
      <c r="K67" t="s">
        <v>107</v>
      </c>
      <c r="L67" t="s">
        <v>108</v>
      </c>
      <c r="M67">
        <v>1550</v>
      </c>
      <c r="N67">
        <v>0</v>
      </c>
      <c r="O67">
        <v>1740.3626999999999</v>
      </c>
      <c r="P67" t="str">
        <f>_xlfn.XLOOKUP(G67,'Kraken Trades'!$A$2:$A$28,'Kraken Trades'!$A$2:$A$28,"--",0)</f>
        <v>--</v>
      </c>
      <c r="Q67" t="str">
        <f>_xlfn.XLOOKUP(G67,'Kraken Trades'!$A$2:$A$28,'Kraken Trades'!$B$2:$B$28,"--",0)</f>
        <v>--</v>
      </c>
      <c r="R67" t="str">
        <f>_xlfn.XLOOKUP(G67,'Kraken Trades'!$A$2:$A$28,'Kraken Trades'!$C$2:$C$28,"--",0)</f>
        <v>--</v>
      </c>
      <c r="S67" t="str">
        <f>_xlfn.XLOOKUP(G67,'Kraken Trades'!$A$2:$A$28,'Kraken Trades'!$D$2:$D$28,"--",0)</f>
        <v>--</v>
      </c>
      <c r="T67" t="str">
        <f>_xlfn.XLOOKUP(G67,'Kraken Trades'!$A$2:$A$28,'Kraken Trades'!$E$2:$E$28,"--",0)</f>
        <v>--</v>
      </c>
      <c r="U67" t="str">
        <f>_xlfn.XLOOKUP(G67,'Kraken Trades'!$A$2:$A$28,'Kraken Trades'!$F$2:$F$28,"--",0)</f>
        <v>--</v>
      </c>
      <c r="V67" t="str">
        <f>_xlfn.XLOOKUP(G67,'Kraken Trades'!$A$2:$A$28,'Kraken Trades'!$G$2:$G$28,"--",0)</f>
        <v>--</v>
      </c>
      <c r="W67" t="str">
        <f>_xlfn.XLOOKUP(G67,'Kraken Trades'!$A$2:$A$28,'Kraken Trades'!$H$2:$H$28,"--",0)</f>
        <v>--</v>
      </c>
      <c r="X67" t="str">
        <f>_xlfn.XLOOKUP(G67,'Kraken Trades'!$A$2:$A$28,'Kraken Trades'!$I$2:$I$28,"--",0)</f>
        <v>--</v>
      </c>
      <c r="Y67" t="str">
        <f>_xlfn.XLOOKUP(G67,'Kraken Trades'!$A$2:$A$28,'Kraken Trades'!$J$2:$J$28,"--",0)</f>
        <v>--</v>
      </c>
      <c r="Z67" t="str">
        <f>_xlfn.XLOOKUP(G67,'Kraken Trades'!$A$2:$A$28,'Kraken Trades'!$K$2:$K$28,"--",0)</f>
        <v>--</v>
      </c>
      <c r="AA67" t="str">
        <f>_xlfn.XLOOKUP(G67,'Kraken Trades'!$A$2:$A$28,'Kraken Trades'!$L$2:$L$28,"--",0)</f>
        <v>--</v>
      </c>
      <c r="AB67" t="str">
        <f>_xlfn.XLOOKUP(G67,'Kraken Trades'!$A$2:$A$28,'Kraken Trades'!$M$2:$M$28,"--",0)</f>
        <v>--</v>
      </c>
    </row>
    <row r="68" spans="1:28" x14ac:dyDescent="0.15">
      <c r="A68" s="78">
        <v>45104</v>
      </c>
      <c r="B68" t="s">
        <v>104</v>
      </c>
      <c r="E68" t="str">
        <f>_xlfn.XLOOKUP(D68,'DEST TAGs'!$A$2:$A$5,'DEST TAGs'!$B$2:$B$5,"--",0)</f>
        <v>--</v>
      </c>
      <c r="F68" t="s">
        <v>186</v>
      </c>
      <c r="G68" t="s">
        <v>187</v>
      </c>
      <c r="H68" s="70">
        <v>45019.502083333333</v>
      </c>
      <c r="I68" t="s">
        <v>112</v>
      </c>
      <c r="K68" t="s">
        <v>107</v>
      </c>
      <c r="L68" t="s">
        <v>108</v>
      </c>
      <c r="M68">
        <v>-1536.5425</v>
      </c>
      <c r="N68">
        <v>0</v>
      </c>
      <c r="O68">
        <v>203.8202</v>
      </c>
      <c r="P68" t="str">
        <f>_xlfn.XLOOKUP(G68,'Kraken Trades'!$A$2:$A$28,'Kraken Trades'!$A$2:$A$28,"--",0)</f>
        <v>T2SYNS-QPPLR-RWCR6N</v>
      </c>
      <c r="Q68" t="str">
        <f>_xlfn.XLOOKUP(G68,'Kraken Trades'!$A$2:$A$28,'Kraken Trades'!$B$2:$B$28,"--",0)</f>
        <v>OKJB6I-BNMCX-D6SSRD</v>
      </c>
      <c r="R68" t="str">
        <f>_xlfn.XLOOKUP(G68,'Kraken Trades'!$A$2:$A$28,'Kraken Trades'!$C$2:$C$28,"--",0)</f>
        <v>XRPGBP</v>
      </c>
      <c r="S68">
        <f>_xlfn.XLOOKUP(G68,'Kraken Trades'!$A$2:$A$28,'Kraken Trades'!$D$2:$D$28,"--",0)</f>
        <v>2.1307870370370369E-3</v>
      </c>
      <c r="T68" t="str">
        <f>_xlfn.XLOOKUP(G68,'Kraken Trades'!$A$2:$A$28,'Kraken Trades'!$E$2:$E$28,"--",0)</f>
        <v>buy</v>
      </c>
      <c r="U68" t="str">
        <f>_xlfn.XLOOKUP(G68,'Kraken Trades'!$A$2:$A$28,'Kraken Trades'!$F$2:$F$28,"--",0)</f>
        <v>market</v>
      </c>
      <c r="V68">
        <f>_xlfn.XLOOKUP(G68,'Kraken Trades'!$A$2:$A$28,'Kraken Trades'!$G$2:$G$28,"--",0)</f>
        <v>0.41528174000000001</v>
      </c>
      <c r="W68">
        <f>_xlfn.XLOOKUP(G68,'Kraken Trades'!$A$2:$A$28,'Kraken Trades'!$H$2:$H$28,"--",0)</f>
        <v>1536.54242</v>
      </c>
      <c r="X68">
        <f>_xlfn.XLOOKUP(G68,'Kraken Trades'!$A$2:$A$28,'Kraken Trades'!$I$2:$I$28,"--",0)</f>
        <v>3.9950103000000001</v>
      </c>
      <c r="Y68">
        <f>_xlfn.XLOOKUP(G68,'Kraken Trades'!$A$2:$A$28,'Kraken Trades'!$J$2:$J$28,"--",0)</f>
        <v>3700</v>
      </c>
      <c r="Z68">
        <f>_xlfn.XLOOKUP(G68,'Kraken Trades'!$A$2:$A$28,'Kraken Trades'!$K$2:$K$28,"--",0)</f>
        <v>0</v>
      </c>
      <c r="AA68" t="str">
        <f>_xlfn.XLOOKUP(G68,'Kraken Trades'!$A$2:$A$28,'Kraken Trades'!$L$2:$L$28,"--",0)</f>
        <v>initiated</v>
      </c>
      <c r="AB68" t="str">
        <f>_xlfn.XLOOKUP(G68,'Kraken Trades'!$A$2:$A$28,'Kraken Trades'!$M$2:$M$28,"--",0)</f>
        <v>LR74IH-UWJYR-KCPT4I,LZCKOU-6WH7Y-OAOCFE,LCCMR6-CUGBS-OVGXI6</v>
      </c>
    </row>
    <row r="69" spans="1:28" x14ac:dyDescent="0.15">
      <c r="A69" s="78">
        <v>45104</v>
      </c>
      <c r="B69" t="s">
        <v>104</v>
      </c>
      <c r="E69" t="str">
        <f>_xlfn.XLOOKUP(D69,'DEST TAGs'!$A$2:$A$5,'DEST TAGs'!$B$2:$B$5,"--",0)</f>
        <v>--</v>
      </c>
      <c r="F69" t="s">
        <v>188</v>
      </c>
      <c r="G69" t="s">
        <v>187</v>
      </c>
      <c r="H69" s="70">
        <v>45019.502083333333</v>
      </c>
      <c r="I69" t="s">
        <v>112</v>
      </c>
      <c r="K69" t="s">
        <v>107</v>
      </c>
      <c r="L69" t="s">
        <v>114</v>
      </c>
      <c r="M69">
        <v>3700</v>
      </c>
      <c r="N69">
        <v>0</v>
      </c>
      <c r="O69">
        <v>3700.8094430000001</v>
      </c>
      <c r="P69" t="str">
        <f>_xlfn.XLOOKUP(G69,'Kraken Trades'!$A$2:$A$28,'Kraken Trades'!$A$2:$A$28,"--",0)</f>
        <v>T2SYNS-QPPLR-RWCR6N</v>
      </c>
      <c r="Q69" t="str">
        <f>_xlfn.XLOOKUP(G69,'Kraken Trades'!$A$2:$A$28,'Kraken Trades'!$B$2:$B$28,"--",0)</f>
        <v>OKJB6I-BNMCX-D6SSRD</v>
      </c>
      <c r="R69" t="str">
        <f>_xlfn.XLOOKUP(G69,'Kraken Trades'!$A$2:$A$28,'Kraken Trades'!$C$2:$C$28,"--",0)</f>
        <v>XRPGBP</v>
      </c>
      <c r="S69">
        <f>_xlfn.XLOOKUP(G69,'Kraken Trades'!$A$2:$A$28,'Kraken Trades'!$D$2:$D$28,"--",0)</f>
        <v>2.1307870370370369E-3</v>
      </c>
      <c r="T69" t="str">
        <f>_xlfn.XLOOKUP(G69,'Kraken Trades'!$A$2:$A$28,'Kraken Trades'!$E$2:$E$28,"--",0)</f>
        <v>buy</v>
      </c>
      <c r="U69" t="str">
        <f>_xlfn.XLOOKUP(G69,'Kraken Trades'!$A$2:$A$28,'Kraken Trades'!$F$2:$F$28,"--",0)</f>
        <v>market</v>
      </c>
      <c r="V69">
        <f>_xlfn.XLOOKUP(G69,'Kraken Trades'!$A$2:$A$28,'Kraken Trades'!$G$2:$G$28,"--",0)</f>
        <v>0.41528174000000001</v>
      </c>
      <c r="W69">
        <f>_xlfn.XLOOKUP(G69,'Kraken Trades'!$A$2:$A$28,'Kraken Trades'!$H$2:$H$28,"--",0)</f>
        <v>1536.54242</v>
      </c>
      <c r="X69">
        <f>_xlfn.XLOOKUP(G69,'Kraken Trades'!$A$2:$A$28,'Kraken Trades'!$I$2:$I$28,"--",0)</f>
        <v>3.9950103000000001</v>
      </c>
      <c r="Y69">
        <f>_xlfn.XLOOKUP(G69,'Kraken Trades'!$A$2:$A$28,'Kraken Trades'!$J$2:$J$28,"--",0)</f>
        <v>3700</v>
      </c>
      <c r="Z69">
        <f>_xlfn.XLOOKUP(G69,'Kraken Trades'!$A$2:$A$28,'Kraken Trades'!$K$2:$K$28,"--",0)</f>
        <v>0</v>
      </c>
      <c r="AA69" t="str">
        <f>_xlfn.XLOOKUP(G69,'Kraken Trades'!$A$2:$A$28,'Kraken Trades'!$L$2:$L$28,"--",0)</f>
        <v>initiated</v>
      </c>
      <c r="AB69" t="str">
        <f>_xlfn.XLOOKUP(G69,'Kraken Trades'!$A$2:$A$28,'Kraken Trades'!$M$2:$M$28,"--",0)</f>
        <v>LR74IH-UWJYR-KCPT4I,LZCKOU-6WH7Y-OAOCFE,LCCMR6-CUGBS-OVGXI6</v>
      </c>
    </row>
    <row r="70" spans="1:28" x14ac:dyDescent="0.15">
      <c r="A70" s="78">
        <v>45104</v>
      </c>
      <c r="B70" t="s">
        <v>104</v>
      </c>
      <c r="E70" t="str">
        <f>_xlfn.XLOOKUP(D70,'DEST TAGs'!$A$2:$A$5,'DEST TAGs'!$B$2:$B$5,"--",0)</f>
        <v>--</v>
      </c>
      <c r="F70" t="s">
        <v>189</v>
      </c>
      <c r="G70" t="s">
        <v>187</v>
      </c>
      <c r="H70" s="70">
        <v>45019.502083333333</v>
      </c>
      <c r="I70" t="s">
        <v>112</v>
      </c>
      <c r="K70" t="s">
        <v>107</v>
      </c>
      <c r="L70" t="s">
        <v>116</v>
      </c>
      <c r="M70">
        <v>0</v>
      </c>
      <c r="N70">
        <v>494.46</v>
      </c>
      <c r="O70">
        <v>6131.91</v>
      </c>
      <c r="P70" t="str">
        <f>_xlfn.XLOOKUP(G70,'Kraken Trades'!$A$2:$A$28,'Kraken Trades'!$A$2:$A$28,"--",0)</f>
        <v>T2SYNS-QPPLR-RWCR6N</v>
      </c>
      <c r="Q70" t="str">
        <f>_xlfn.XLOOKUP(G70,'Kraken Trades'!$A$2:$A$28,'Kraken Trades'!$B$2:$B$28,"--",0)</f>
        <v>OKJB6I-BNMCX-D6SSRD</v>
      </c>
      <c r="R70" t="str">
        <f>_xlfn.XLOOKUP(G70,'Kraken Trades'!$A$2:$A$28,'Kraken Trades'!$C$2:$C$28,"--",0)</f>
        <v>XRPGBP</v>
      </c>
      <c r="S70">
        <f>_xlfn.XLOOKUP(G70,'Kraken Trades'!$A$2:$A$28,'Kraken Trades'!$D$2:$D$28,"--",0)</f>
        <v>2.1307870370370369E-3</v>
      </c>
      <c r="T70" t="str">
        <f>_xlfn.XLOOKUP(G70,'Kraken Trades'!$A$2:$A$28,'Kraken Trades'!$E$2:$E$28,"--",0)</f>
        <v>buy</v>
      </c>
      <c r="U70" t="str">
        <f>_xlfn.XLOOKUP(G70,'Kraken Trades'!$A$2:$A$28,'Kraken Trades'!$F$2:$F$28,"--",0)</f>
        <v>market</v>
      </c>
      <c r="V70">
        <f>_xlfn.XLOOKUP(G70,'Kraken Trades'!$A$2:$A$28,'Kraken Trades'!$G$2:$G$28,"--",0)</f>
        <v>0.41528174000000001</v>
      </c>
      <c r="W70">
        <f>_xlfn.XLOOKUP(G70,'Kraken Trades'!$A$2:$A$28,'Kraken Trades'!$H$2:$H$28,"--",0)</f>
        <v>1536.54242</v>
      </c>
      <c r="X70">
        <f>_xlfn.XLOOKUP(G70,'Kraken Trades'!$A$2:$A$28,'Kraken Trades'!$I$2:$I$28,"--",0)</f>
        <v>3.9950103000000001</v>
      </c>
      <c r="Y70">
        <f>_xlfn.XLOOKUP(G70,'Kraken Trades'!$A$2:$A$28,'Kraken Trades'!$J$2:$J$28,"--",0)</f>
        <v>3700</v>
      </c>
      <c r="Z70">
        <f>_xlfn.XLOOKUP(G70,'Kraken Trades'!$A$2:$A$28,'Kraken Trades'!$K$2:$K$28,"--",0)</f>
        <v>0</v>
      </c>
      <c r="AA70" t="str">
        <f>_xlfn.XLOOKUP(G70,'Kraken Trades'!$A$2:$A$28,'Kraken Trades'!$L$2:$L$28,"--",0)</f>
        <v>initiated</v>
      </c>
      <c r="AB70" t="str">
        <f>_xlfn.XLOOKUP(G70,'Kraken Trades'!$A$2:$A$28,'Kraken Trades'!$M$2:$M$28,"--",0)</f>
        <v>LR74IH-UWJYR-KCPT4I,LZCKOU-6WH7Y-OAOCFE,LCCMR6-CUGBS-OVGXI6</v>
      </c>
    </row>
    <row r="71" spans="1:28" x14ac:dyDescent="0.15">
      <c r="A71" s="78">
        <v>45104</v>
      </c>
      <c r="B71" t="s">
        <v>104</v>
      </c>
      <c r="E71" t="str">
        <f>_xlfn.XLOOKUP(D71,'DEST TAGs'!$A$2:$A$5,'DEST TAGs'!$B$2:$B$5,"--",0)</f>
        <v>--</v>
      </c>
      <c r="G71" t="s">
        <v>190</v>
      </c>
      <c r="H71" s="70">
        <v>45019.511111111111</v>
      </c>
      <c r="I71" t="s">
        <v>118</v>
      </c>
      <c r="K71" t="s">
        <v>107</v>
      </c>
      <c r="L71" t="s">
        <v>114</v>
      </c>
      <c r="M71">
        <v>-3700</v>
      </c>
      <c r="N71">
        <v>0.02</v>
      </c>
      <c r="P71" t="str">
        <f>_xlfn.XLOOKUP(G71,'Kraken Trades'!$A$2:$A$28,'Kraken Trades'!$A$2:$A$28,"--",0)</f>
        <v>--</v>
      </c>
      <c r="Q71" t="str">
        <f>_xlfn.XLOOKUP(G71,'Kraken Trades'!$A$2:$A$28,'Kraken Trades'!$B$2:$B$28,"--",0)</f>
        <v>--</v>
      </c>
      <c r="R71" t="str">
        <f>_xlfn.XLOOKUP(G71,'Kraken Trades'!$A$2:$A$28,'Kraken Trades'!$C$2:$C$28,"--",0)</f>
        <v>--</v>
      </c>
      <c r="S71" t="str">
        <f>_xlfn.XLOOKUP(G71,'Kraken Trades'!$A$2:$A$28,'Kraken Trades'!$D$2:$D$28,"--",0)</f>
        <v>--</v>
      </c>
      <c r="T71" t="str">
        <f>_xlfn.XLOOKUP(G71,'Kraken Trades'!$A$2:$A$28,'Kraken Trades'!$E$2:$E$28,"--",0)</f>
        <v>--</v>
      </c>
      <c r="U71" t="str">
        <f>_xlfn.XLOOKUP(G71,'Kraken Trades'!$A$2:$A$28,'Kraken Trades'!$F$2:$F$28,"--",0)</f>
        <v>--</v>
      </c>
      <c r="V71" t="str">
        <f>_xlfn.XLOOKUP(G71,'Kraken Trades'!$A$2:$A$28,'Kraken Trades'!$G$2:$G$28,"--",0)</f>
        <v>--</v>
      </c>
      <c r="W71" t="str">
        <f>_xlfn.XLOOKUP(G71,'Kraken Trades'!$A$2:$A$28,'Kraken Trades'!$H$2:$H$28,"--",0)</f>
        <v>--</v>
      </c>
      <c r="X71" t="str">
        <f>_xlfn.XLOOKUP(G71,'Kraken Trades'!$A$2:$A$28,'Kraken Trades'!$I$2:$I$28,"--",0)</f>
        <v>--</v>
      </c>
      <c r="Y71" t="str">
        <f>_xlfn.XLOOKUP(G71,'Kraken Trades'!$A$2:$A$28,'Kraken Trades'!$J$2:$J$28,"--",0)</f>
        <v>--</v>
      </c>
      <c r="Z71" t="str">
        <f>_xlfn.XLOOKUP(G71,'Kraken Trades'!$A$2:$A$28,'Kraken Trades'!$K$2:$K$28,"--",0)</f>
        <v>--</v>
      </c>
      <c r="AA71" t="str">
        <f>_xlfn.XLOOKUP(G71,'Kraken Trades'!$A$2:$A$28,'Kraken Trades'!$L$2:$L$28,"--",0)</f>
        <v>--</v>
      </c>
      <c r="AB71" t="str">
        <f>_xlfn.XLOOKUP(G71,'Kraken Trades'!$A$2:$A$28,'Kraken Trades'!$M$2:$M$28,"--",0)</f>
        <v>--</v>
      </c>
    </row>
    <row r="72" spans="1:28" x14ac:dyDescent="0.15">
      <c r="A72" s="78">
        <v>45104</v>
      </c>
      <c r="B72" t="s">
        <v>104</v>
      </c>
      <c r="C72" s="77" t="s">
        <v>57</v>
      </c>
      <c r="D72">
        <v>518294827</v>
      </c>
      <c r="E72" t="str">
        <f>_xlfn.XLOOKUP(D72,'DEST TAGs'!$A$2:$A$5,'DEST TAGs'!$B$2:$B$5,"--",0)</f>
        <v>Alex Smirnov</v>
      </c>
      <c r="F72" t="s">
        <v>191</v>
      </c>
      <c r="G72" t="s">
        <v>190</v>
      </c>
      <c r="H72" s="70">
        <v>45019.512499999997</v>
      </c>
      <c r="I72" t="s">
        <v>118</v>
      </c>
      <c r="K72" t="s">
        <v>107</v>
      </c>
      <c r="L72" t="s">
        <v>114</v>
      </c>
      <c r="M72">
        <v>-3700</v>
      </c>
      <c r="N72">
        <v>0.02</v>
      </c>
      <c r="O72">
        <v>0.78944334000000005</v>
      </c>
      <c r="P72" t="str">
        <f>_xlfn.XLOOKUP(G72,'Kraken Trades'!$A$2:$A$28,'Kraken Trades'!$A$2:$A$28,"--",0)</f>
        <v>--</v>
      </c>
      <c r="Q72" t="str">
        <f>_xlfn.XLOOKUP(G72,'Kraken Trades'!$A$2:$A$28,'Kraken Trades'!$B$2:$B$28,"--",0)</f>
        <v>--</v>
      </c>
      <c r="R72" t="str">
        <f>_xlfn.XLOOKUP(G72,'Kraken Trades'!$A$2:$A$28,'Kraken Trades'!$C$2:$C$28,"--",0)</f>
        <v>--</v>
      </c>
      <c r="S72" t="str">
        <f>_xlfn.XLOOKUP(G72,'Kraken Trades'!$A$2:$A$28,'Kraken Trades'!$D$2:$D$28,"--",0)</f>
        <v>--</v>
      </c>
      <c r="T72" t="str">
        <f>_xlfn.XLOOKUP(G72,'Kraken Trades'!$A$2:$A$28,'Kraken Trades'!$E$2:$E$28,"--",0)</f>
        <v>--</v>
      </c>
      <c r="U72" t="str">
        <f>_xlfn.XLOOKUP(G72,'Kraken Trades'!$A$2:$A$28,'Kraken Trades'!$F$2:$F$28,"--",0)</f>
        <v>--</v>
      </c>
      <c r="V72" t="str">
        <f>_xlfn.XLOOKUP(G72,'Kraken Trades'!$A$2:$A$28,'Kraken Trades'!$G$2:$G$28,"--",0)</f>
        <v>--</v>
      </c>
      <c r="W72" t="str">
        <f>_xlfn.XLOOKUP(G72,'Kraken Trades'!$A$2:$A$28,'Kraken Trades'!$H$2:$H$28,"--",0)</f>
        <v>--</v>
      </c>
      <c r="X72" t="str">
        <f>_xlfn.XLOOKUP(G72,'Kraken Trades'!$A$2:$A$28,'Kraken Trades'!$I$2:$I$28,"--",0)</f>
        <v>--</v>
      </c>
      <c r="Y72" t="str">
        <f>_xlfn.XLOOKUP(G72,'Kraken Trades'!$A$2:$A$28,'Kraken Trades'!$J$2:$J$28,"--",0)</f>
        <v>--</v>
      </c>
      <c r="Z72" t="str">
        <f>_xlfn.XLOOKUP(G72,'Kraken Trades'!$A$2:$A$28,'Kraken Trades'!$K$2:$K$28,"--",0)</f>
        <v>--</v>
      </c>
      <c r="AA72" t="str">
        <f>_xlfn.XLOOKUP(G72,'Kraken Trades'!$A$2:$A$28,'Kraken Trades'!$L$2:$L$28,"--",0)</f>
        <v>--</v>
      </c>
      <c r="AB72" t="str">
        <f>_xlfn.XLOOKUP(G72,'Kraken Trades'!$A$2:$A$28,'Kraken Trades'!$M$2:$M$28,"--",0)</f>
        <v>--</v>
      </c>
    </row>
    <row r="73" spans="1:28" x14ac:dyDescent="0.15">
      <c r="A73" s="78">
        <v>45104</v>
      </c>
      <c r="B73" t="s">
        <v>104</v>
      </c>
      <c r="E73" t="str">
        <f>_xlfn.XLOOKUP(D73,'DEST TAGs'!$A$2:$A$5,'DEST TAGs'!$B$2:$B$5,"--",0)</f>
        <v>--</v>
      </c>
      <c r="G73" t="s">
        <v>192</v>
      </c>
      <c r="H73" s="70">
        <v>45028.463888888888</v>
      </c>
      <c r="I73" t="s">
        <v>106</v>
      </c>
      <c r="K73" t="s">
        <v>107</v>
      </c>
      <c r="L73" t="s">
        <v>108</v>
      </c>
      <c r="M73">
        <v>800</v>
      </c>
      <c r="N73">
        <v>0</v>
      </c>
      <c r="P73" t="str">
        <f>_xlfn.XLOOKUP(G73,'Kraken Trades'!$A$2:$A$28,'Kraken Trades'!$A$2:$A$28,"--",0)</f>
        <v>--</v>
      </c>
      <c r="Q73" t="str">
        <f>_xlfn.XLOOKUP(G73,'Kraken Trades'!$A$2:$A$28,'Kraken Trades'!$B$2:$B$28,"--",0)</f>
        <v>--</v>
      </c>
      <c r="R73" t="str">
        <f>_xlfn.XLOOKUP(G73,'Kraken Trades'!$A$2:$A$28,'Kraken Trades'!$C$2:$C$28,"--",0)</f>
        <v>--</v>
      </c>
      <c r="S73" t="str">
        <f>_xlfn.XLOOKUP(G73,'Kraken Trades'!$A$2:$A$28,'Kraken Trades'!$D$2:$D$28,"--",0)</f>
        <v>--</v>
      </c>
      <c r="T73" t="str">
        <f>_xlfn.XLOOKUP(G73,'Kraken Trades'!$A$2:$A$28,'Kraken Trades'!$E$2:$E$28,"--",0)</f>
        <v>--</v>
      </c>
      <c r="U73" t="str">
        <f>_xlfn.XLOOKUP(G73,'Kraken Trades'!$A$2:$A$28,'Kraken Trades'!$F$2:$F$28,"--",0)</f>
        <v>--</v>
      </c>
      <c r="V73" t="str">
        <f>_xlfn.XLOOKUP(G73,'Kraken Trades'!$A$2:$A$28,'Kraken Trades'!$G$2:$G$28,"--",0)</f>
        <v>--</v>
      </c>
      <c r="W73" t="str">
        <f>_xlfn.XLOOKUP(G73,'Kraken Trades'!$A$2:$A$28,'Kraken Trades'!$H$2:$H$28,"--",0)</f>
        <v>--</v>
      </c>
      <c r="X73" t="str">
        <f>_xlfn.XLOOKUP(G73,'Kraken Trades'!$A$2:$A$28,'Kraken Trades'!$I$2:$I$28,"--",0)</f>
        <v>--</v>
      </c>
      <c r="Y73" t="str">
        <f>_xlfn.XLOOKUP(G73,'Kraken Trades'!$A$2:$A$28,'Kraken Trades'!$J$2:$J$28,"--",0)</f>
        <v>--</v>
      </c>
      <c r="Z73" t="str">
        <f>_xlfn.XLOOKUP(G73,'Kraken Trades'!$A$2:$A$28,'Kraken Trades'!$K$2:$K$28,"--",0)</f>
        <v>--</v>
      </c>
      <c r="AA73" t="str">
        <f>_xlfn.XLOOKUP(G73,'Kraken Trades'!$A$2:$A$28,'Kraken Trades'!$L$2:$L$28,"--",0)</f>
        <v>--</v>
      </c>
      <c r="AB73" t="str">
        <f>_xlfn.XLOOKUP(G73,'Kraken Trades'!$A$2:$A$28,'Kraken Trades'!$M$2:$M$28,"--",0)</f>
        <v>--</v>
      </c>
    </row>
    <row r="74" spans="1:28" x14ac:dyDescent="0.15">
      <c r="A74" s="78">
        <v>45104</v>
      </c>
      <c r="B74" t="s">
        <v>104</v>
      </c>
      <c r="E74" t="str">
        <f>_xlfn.XLOOKUP(D74,'DEST TAGs'!$A$2:$A$5,'DEST TAGs'!$B$2:$B$5,"--",0)</f>
        <v>--</v>
      </c>
      <c r="F74" t="s">
        <v>193</v>
      </c>
      <c r="G74" t="s">
        <v>192</v>
      </c>
      <c r="H74" s="70">
        <v>45028.497916666667</v>
      </c>
      <c r="I74" t="s">
        <v>106</v>
      </c>
      <c r="K74" t="s">
        <v>107</v>
      </c>
      <c r="L74" t="s">
        <v>108</v>
      </c>
      <c r="M74">
        <v>800</v>
      </c>
      <c r="N74">
        <v>0</v>
      </c>
      <c r="O74">
        <v>1003.8202</v>
      </c>
      <c r="P74" t="str">
        <f>_xlfn.XLOOKUP(G74,'Kraken Trades'!$A$2:$A$28,'Kraken Trades'!$A$2:$A$28,"--",0)</f>
        <v>--</v>
      </c>
      <c r="Q74" t="str">
        <f>_xlfn.XLOOKUP(G74,'Kraken Trades'!$A$2:$A$28,'Kraken Trades'!$B$2:$B$28,"--",0)</f>
        <v>--</v>
      </c>
      <c r="R74" t="str">
        <f>_xlfn.XLOOKUP(G74,'Kraken Trades'!$A$2:$A$28,'Kraken Trades'!$C$2:$C$28,"--",0)</f>
        <v>--</v>
      </c>
      <c r="S74" t="str">
        <f>_xlfn.XLOOKUP(G74,'Kraken Trades'!$A$2:$A$28,'Kraken Trades'!$D$2:$D$28,"--",0)</f>
        <v>--</v>
      </c>
      <c r="T74" t="str">
        <f>_xlfn.XLOOKUP(G74,'Kraken Trades'!$A$2:$A$28,'Kraken Trades'!$E$2:$E$28,"--",0)</f>
        <v>--</v>
      </c>
      <c r="U74" t="str">
        <f>_xlfn.XLOOKUP(G74,'Kraken Trades'!$A$2:$A$28,'Kraken Trades'!$F$2:$F$28,"--",0)</f>
        <v>--</v>
      </c>
      <c r="V74" t="str">
        <f>_xlfn.XLOOKUP(G74,'Kraken Trades'!$A$2:$A$28,'Kraken Trades'!$G$2:$G$28,"--",0)</f>
        <v>--</v>
      </c>
      <c r="W74" t="str">
        <f>_xlfn.XLOOKUP(G74,'Kraken Trades'!$A$2:$A$28,'Kraken Trades'!$H$2:$H$28,"--",0)</f>
        <v>--</v>
      </c>
      <c r="X74" t="str">
        <f>_xlfn.XLOOKUP(G74,'Kraken Trades'!$A$2:$A$28,'Kraken Trades'!$I$2:$I$28,"--",0)</f>
        <v>--</v>
      </c>
      <c r="Y74" t="str">
        <f>_xlfn.XLOOKUP(G74,'Kraken Trades'!$A$2:$A$28,'Kraken Trades'!$J$2:$J$28,"--",0)</f>
        <v>--</v>
      </c>
      <c r="Z74" t="str">
        <f>_xlfn.XLOOKUP(G74,'Kraken Trades'!$A$2:$A$28,'Kraken Trades'!$K$2:$K$28,"--",0)</f>
        <v>--</v>
      </c>
      <c r="AA74" t="str">
        <f>_xlfn.XLOOKUP(G74,'Kraken Trades'!$A$2:$A$28,'Kraken Trades'!$L$2:$L$28,"--",0)</f>
        <v>--</v>
      </c>
      <c r="AB74" t="str">
        <f>_xlfn.XLOOKUP(G74,'Kraken Trades'!$A$2:$A$28,'Kraken Trades'!$M$2:$M$28,"--",0)</f>
        <v>--</v>
      </c>
    </row>
    <row r="75" spans="1:28" x14ac:dyDescent="0.15">
      <c r="A75" s="78">
        <v>45104</v>
      </c>
      <c r="B75" t="s">
        <v>104</v>
      </c>
      <c r="E75" t="str">
        <f>_xlfn.XLOOKUP(D75,'DEST TAGs'!$A$2:$A$5,'DEST TAGs'!$B$2:$B$5,"--",0)</f>
        <v>--</v>
      </c>
      <c r="F75" t="s">
        <v>194</v>
      </c>
      <c r="G75" t="s">
        <v>195</v>
      </c>
      <c r="H75" s="70">
        <v>45028.513194444444</v>
      </c>
      <c r="I75" t="s">
        <v>112</v>
      </c>
      <c r="K75" t="s">
        <v>107</v>
      </c>
      <c r="L75" t="s">
        <v>108</v>
      </c>
      <c r="M75">
        <v>-800.56050000000005</v>
      </c>
      <c r="N75">
        <v>0</v>
      </c>
      <c r="O75">
        <v>203.25970000000001</v>
      </c>
      <c r="P75" t="str">
        <f>_xlfn.XLOOKUP(G75,'Kraken Trades'!$A$2:$A$28,'Kraken Trades'!$A$2:$A$28,"--",0)</f>
        <v>TYKAIB-CIGAO-B5OBU6</v>
      </c>
      <c r="Q75" t="str">
        <f>_xlfn.XLOOKUP(G75,'Kraken Trades'!$A$2:$A$28,'Kraken Trades'!$B$2:$B$28,"--",0)</f>
        <v>OY7NWP-OJ4KS-EHEOGI</v>
      </c>
      <c r="R75" t="str">
        <f>_xlfn.XLOOKUP(G75,'Kraken Trades'!$A$2:$A$28,'Kraken Trades'!$C$2:$C$28,"--",0)</f>
        <v>XRPGBP</v>
      </c>
      <c r="S75">
        <f>_xlfn.XLOOKUP(G75,'Kraken Trades'!$A$2:$A$28,'Kraken Trades'!$D$2:$D$28,"--",0)</f>
        <v>1.3769675925925927E-2</v>
      </c>
      <c r="T75" t="str">
        <f>_xlfn.XLOOKUP(G75,'Kraken Trades'!$A$2:$A$28,'Kraken Trades'!$E$2:$E$28,"--",0)</f>
        <v>buy</v>
      </c>
      <c r="U75" t="str">
        <f>_xlfn.XLOOKUP(G75,'Kraken Trades'!$A$2:$A$28,'Kraken Trades'!$F$2:$F$28,"--",0)</f>
        <v>market</v>
      </c>
      <c r="V75">
        <f>_xlfn.XLOOKUP(G75,'Kraken Trades'!$A$2:$A$28,'Kraken Trades'!$G$2:$G$28,"--",0)</f>
        <v>0.40534709000000002</v>
      </c>
      <c r="W75">
        <f>_xlfn.XLOOKUP(G75,'Kraken Trades'!$A$2:$A$28,'Kraken Trades'!$H$2:$H$28,"--",0)</f>
        <v>800.56050800000003</v>
      </c>
      <c r="X75">
        <f>_xlfn.XLOOKUP(G75,'Kraken Trades'!$A$2:$A$28,'Kraken Trades'!$I$2:$I$28,"--",0)</f>
        <v>2.0814573200000002</v>
      </c>
      <c r="Y75">
        <f>_xlfn.XLOOKUP(G75,'Kraken Trades'!$A$2:$A$28,'Kraken Trades'!$J$2:$J$28,"--",0)</f>
        <v>1975</v>
      </c>
      <c r="Z75">
        <f>_xlfn.XLOOKUP(G75,'Kraken Trades'!$A$2:$A$28,'Kraken Trades'!$K$2:$K$28,"--",0)</f>
        <v>0</v>
      </c>
      <c r="AA75" t="str">
        <f>_xlfn.XLOOKUP(G75,'Kraken Trades'!$A$2:$A$28,'Kraken Trades'!$L$2:$L$28,"--",0)</f>
        <v>initiated</v>
      </c>
      <c r="AB75" t="str">
        <f>_xlfn.XLOOKUP(G75,'Kraken Trades'!$A$2:$A$28,'Kraken Trades'!$M$2:$M$28,"--",0)</f>
        <v>LIGGLP-ATT37-DVOVHS,LXNJSC-GVZ6M-MTAFRA,L4UFCK-RHGHP-4I25WP</v>
      </c>
    </row>
    <row r="76" spans="1:28" x14ac:dyDescent="0.15">
      <c r="A76" s="78">
        <v>45104</v>
      </c>
      <c r="B76" t="s">
        <v>104</v>
      </c>
      <c r="E76" t="str">
        <f>_xlfn.XLOOKUP(D76,'DEST TAGs'!$A$2:$A$5,'DEST TAGs'!$B$2:$B$5,"--",0)</f>
        <v>--</v>
      </c>
      <c r="F76" t="s">
        <v>196</v>
      </c>
      <c r="G76" t="s">
        <v>195</v>
      </c>
      <c r="H76" s="70">
        <v>45028.513194444444</v>
      </c>
      <c r="I76" t="s">
        <v>112</v>
      </c>
      <c r="K76" t="s">
        <v>107</v>
      </c>
      <c r="L76" t="s">
        <v>114</v>
      </c>
      <c r="M76">
        <v>1975</v>
      </c>
      <c r="N76">
        <v>0</v>
      </c>
      <c r="O76">
        <v>1975.7894429999999</v>
      </c>
      <c r="P76" t="str">
        <f>_xlfn.XLOOKUP(G76,'Kraken Trades'!$A$2:$A$28,'Kraken Trades'!$A$2:$A$28,"--",0)</f>
        <v>TYKAIB-CIGAO-B5OBU6</v>
      </c>
      <c r="Q76" t="str">
        <f>_xlfn.XLOOKUP(G76,'Kraken Trades'!$A$2:$A$28,'Kraken Trades'!$B$2:$B$28,"--",0)</f>
        <v>OY7NWP-OJ4KS-EHEOGI</v>
      </c>
      <c r="R76" t="str">
        <f>_xlfn.XLOOKUP(G76,'Kraken Trades'!$A$2:$A$28,'Kraken Trades'!$C$2:$C$28,"--",0)</f>
        <v>XRPGBP</v>
      </c>
      <c r="S76">
        <f>_xlfn.XLOOKUP(G76,'Kraken Trades'!$A$2:$A$28,'Kraken Trades'!$D$2:$D$28,"--",0)</f>
        <v>1.3769675925925927E-2</v>
      </c>
      <c r="T76" t="str">
        <f>_xlfn.XLOOKUP(G76,'Kraken Trades'!$A$2:$A$28,'Kraken Trades'!$E$2:$E$28,"--",0)</f>
        <v>buy</v>
      </c>
      <c r="U76" t="str">
        <f>_xlfn.XLOOKUP(G76,'Kraken Trades'!$A$2:$A$28,'Kraken Trades'!$F$2:$F$28,"--",0)</f>
        <v>market</v>
      </c>
      <c r="V76">
        <f>_xlfn.XLOOKUP(G76,'Kraken Trades'!$A$2:$A$28,'Kraken Trades'!$G$2:$G$28,"--",0)</f>
        <v>0.40534709000000002</v>
      </c>
      <c r="W76">
        <f>_xlfn.XLOOKUP(G76,'Kraken Trades'!$A$2:$A$28,'Kraken Trades'!$H$2:$H$28,"--",0)</f>
        <v>800.56050800000003</v>
      </c>
      <c r="X76">
        <f>_xlfn.XLOOKUP(G76,'Kraken Trades'!$A$2:$A$28,'Kraken Trades'!$I$2:$I$28,"--",0)</f>
        <v>2.0814573200000002</v>
      </c>
      <c r="Y76">
        <f>_xlfn.XLOOKUP(G76,'Kraken Trades'!$A$2:$A$28,'Kraken Trades'!$J$2:$J$28,"--",0)</f>
        <v>1975</v>
      </c>
      <c r="Z76">
        <f>_xlfn.XLOOKUP(G76,'Kraken Trades'!$A$2:$A$28,'Kraken Trades'!$K$2:$K$28,"--",0)</f>
        <v>0</v>
      </c>
      <c r="AA76" t="str">
        <f>_xlfn.XLOOKUP(G76,'Kraken Trades'!$A$2:$A$28,'Kraken Trades'!$L$2:$L$28,"--",0)</f>
        <v>initiated</v>
      </c>
      <c r="AB76" t="str">
        <f>_xlfn.XLOOKUP(G76,'Kraken Trades'!$A$2:$A$28,'Kraken Trades'!$M$2:$M$28,"--",0)</f>
        <v>LIGGLP-ATT37-DVOVHS,LXNJSC-GVZ6M-MTAFRA,L4UFCK-RHGHP-4I25WP</v>
      </c>
    </row>
    <row r="77" spans="1:28" x14ac:dyDescent="0.15">
      <c r="A77" s="78">
        <v>45104</v>
      </c>
      <c r="B77" t="s">
        <v>104</v>
      </c>
      <c r="E77" t="str">
        <f>_xlfn.XLOOKUP(D77,'DEST TAGs'!$A$2:$A$5,'DEST TAGs'!$B$2:$B$5,"--",0)</f>
        <v>--</v>
      </c>
      <c r="F77" t="s">
        <v>197</v>
      </c>
      <c r="G77" t="s">
        <v>195</v>
      </c>
      <c r="H77" s="70">
        <v>45028.513194444444</v>
      </c>
      <c r="I77" t="s">
        <v>112</v>
      </c>
      <c r="K77" t="s">
        <v>107</v>
      </c>
      <c r="L77" t="s">
        <v>116</v>
      </c>
      <c r="M77">
        <v>0</v>
      </c>
      <c r="N77">
        <v>258.2</v>
      </c>
      <c r="O77">
        <v>5873.71</v>
      </c>
      <c r="P77" t="str">
        <f>_xlfn.XLOOKUP(G77,'Kraken Trades'!$A$2:$A$28,'Kraken Trades'!$A$2:$A$28,"--",0)</f>
        <v>TYKAIB-CIGAO-B5OBU6</v>
      </c>
      <c r="Q77" t="str">
        <f>_xlfn.XLOOKUP(G77,'Kraken Trades'!$A$2:$A$28,'Kraken Trades'!$B$2:$B$28,"--",0)</f>
        <v>OY7NWP-OJ4KS-EHEOGI</v>
      </c>
      <c r="R77" t="str">
        <f>_xlfn.XLOOKUP(G77,'Kraken Trades'!$A$2:$A$28,'Kraken Trades'!$C$2:$C$28,"--",0)</f>
        <v>XRPGBP</v>
      </c>
      <c r="S77">
        <f>_xlfn.XLOOKUP(G77,'Kraken Trades'!$A$2:$A$28,'Kraken Trades'!$D$2:$D$28,"--",0)</f>
        <v>1.3769675925925927E-2</v>
      </c>
      <c r="T77" t="str">
        <f>_xlfn.XLOOKUP(G77,'Kraken Trades'!$A$2:$A$28,'Kraken Trades'!$E$2:$E$28,"--",0)</f>
        <v>buy</v>
      </c>
      <c r="U77" t="str">
        <f>_xlfn.XLOOKUP(G77,'Kraken Trades'!$A$2:$A$28,'Kraken Trades'!$F$2:$F$28,"--",0)</f>
        <v>market</v>
      </c>
      <c r="V77">
        <f>_xlfn.XLOOKUP(G77,'Kraken Trades'!$A$2:$A$28,'Kraken Trades'!$G$2:$G$28,"--",0)</f>
        <v>0.40534709000000002</v>
      </c>
      <c r="W77">
        <f>_xlfn.XLOOKUP(G77,'Kraken Trades'!$A$2:$A$28,'Kraken Trades'!$H$2:$H$28,"--",0)</f>
        <v>800.56050800000003</v>
      </c>
      <c r="X77">
        <f>_xlfn.XLOOKUP(G77,'Kraken Trades'!$A$2:$A$28,'Kraken Trades'!$I$2:$I$28,"--",0)</f>
        <v>2.0814573200000002</v>
      </c>
      <c r="Y77">
        <f>_xlfn.XLOOKUP(G77,'Kraken Trades'!$A$2:$A$28,'Kraken Trades'!$J$2:$J$28,"--",0)</f>
        <v>1975</v>
      </c>
      <c r="Z77">
        <f>_xlfn.XLOOKUP(G77,'Kraken Trades'!$A$2:$A$28,'Kraken Trades'!$K$2:$K$28,"--",0)</f>
        <v>0</v>
      </c>
      <c r="AA77" t="str">
        <f>_xlfn.XLOOKUP(G77,'Kraken Trades'!$A$2:$A$28,'Kraken Trades'!$L$2:$L$28,"--",0)</f>
        <v>initiated</v>
      </c>
      <c r="AB77" t="str">
        <f>_xlfn.XLOOKUP(G77,'Kraken Trades'!$A$2:$A$28,'Kraken Trades'!$M$2:$M$28,"--",0)</f>
        <v>LIGGLP-ATT37-DVOVHS,LXNJSC-GVZ6M-MTAFRA,L4UFCK-RHGHP-4I25WP</v>
      </c>
    </row>
    <row r="78" spans="1:28" x14ac:dyDescent="0.15">
      <c r="A78" s="78">
        <v>45104</v>
      </c>
      <c r="B78" t="s">
        <v>104</v>
      </c>
      <c r="E78" t="str">
        <f>_xlfn.XLOOKUP(D78,'DEST TAGs'!$A$2:$A$5,'DEST TAGs'!$B$2:$B$5,"--",0)</f>
        <v>--</v>
      </c>
      <c r="G78" t="s">
        <v>198</v>
      </c>
      <c r="H78" s="70">
        <v>45028.513888888891</v>
      </c>
      <c r="I78" t="s">
        <v>118</v>
      </c>
      <c r="K78" t="s">
        <v>107</v>
      </c>
      <c r="L78" t="s">
        <v>114</v>
      </c>
      <c r="M78">
        <v>-1975</v>
      </c>
      <c r="N78">
        <v>0.02</v>
      </c>
      <c r="P78" t="str">
        <f>_xlfn.XLOOKUP(G78,'Kraken Trades'!$A$2:$A$28,'Kraken Trades'!$A$2:$A$28,"--",0)</f>
        <v>--</v>
      </c>
      <c r="Q78" t="str">
        <f>_xlfn.XLOOKUP(G78,'Kraken Trades'!$A$2:$A$28,'Kraken Trades'!$B$2:$B$28,"--",0)</f>
        <v>--</v>
      </c>
      <c r="R78" t="str">
        <f>_xlfn.XLOOKUP(G78,'Kraken Trades'!$A$2:$A$28,'Kraken Trades'!$C$2:$C$28,"--",0)</f>
        <v>--</v>
      </c>
      <c r="S78" t="str">
        <f>_xlfn.XLOOKUP(G78,'Kraken Trades'!$A$2:$A$28,'Kraken Trades'!$D$2:$D$28,"--",0)</f>
        <v>--</v>
      </c>
      <c r="T78" t="str">
        <f>_xlfn.XLOOKUP(G78,'Kraken Trades'!$A$2:$A$28,'Kraken Trades'!$E$2:$E$28,"--",0)</f>
        <v>--</v>
      </c>
      <c r="U78" t="str">
        <f>_xlfn.XLOOKUP(G78,'Kraken Trades'!$A$2:$A$28,'Kraken Trades'!$F$2:$F$28,"--",0)</f>
        <v>--</v>
      </c>
      <c r="V78" t="str">
        <f>_xlfn.XLOOKUP(G78,'Kraken Trades'!$A$2:$A$28,'Kraken Trades'!$G$2:$G$28,"--",0)</f>
        <v>--</v>
      </c>
      <c r="W78" t="str">
        <f>_xlfn.XLOOKUP(G78,'Kraken Trades'!$A$2:$A$28,'Kraken Trades'!$H$2:$H$28,"--",0)</f>
        <v>--</v>
      </c>
      <c r="X78" t="str">
        <f>_xlfn.XLOOKUP(G78,'Kraken Trades'!$A$2:$A$28,'Kraken Trades'!$I$2:$I$28,"--",0)</f>
        <v>--</v>
      </c>
      <c r="Y78" t="str">
        <f>_xlfn.XLOOKUP(G78,'Kraken Trades'!$A$2:$A$28,'Kraken Trades'!$J$2:$J$28,"--",0)</f>
        <v>--</v>
      </c>
      <c r="Z78" t="str">
        <f>_xlfn.XLOOKUP(G78,'Kraken Trades'!$A$2:$A$28,'Kraken Trades'!$K$2:$K$28,"--",0)</f>
        <v>--</v>
      </c>
      <c r="AA78" t="str">
        <f>_xlfn.XLOOKUP(G78,'Kraken Trades'!$A$2:$A$28,'Kraken Trades'!$L$2:$L$28,"--",0)</f>
        <v>--</v>
      </c>
      <c r="AB78" t="str">
        <f>_xlfn.XLOOKUP(G78,'Kraken Trades'!$A$2:$A$28,'Kraken Trades'!$M$2:$M$28,"--",0)</f>
        <v>--</v>
      </c>
    </row>
    <row r="79" spans="1:28" x14ac:dyDescent="0.15">
      <c r="A79" s="78">
        <v>45104</v>
      </c>
      <c r="B79" t="s">
        <v>104</v>
      </c>
      <c r="C79" s="77" t="s">
        <v>59</v>
      </c>
      <c r="D79">
        <v>547786843</v>
      </c>
      <c r="E79" t="str">
        <f>_xlfn.XLOOKUP(D79,'DEST TAGs'!$A$2:$A$5,'DEST TAGs'!$B$2:$B$5,"--",0)</f>
        <v>Aleksey Trofimov</v>
      </c>
      <c r="F79" t="s">
        <v>199</v>
      </c>
      <c r="G79" t="s">
        <v>198</v>
      </c>
      <c r="H79" s="70">
        <v>45028.515277777777</v>
      </c>
      <c r="I79" t="s">
        <v>118</v>
      </c>
      <c r="K79" t="s">
        <v>107</v>
      </c>
      <c r="L79" t="s">
        <v>114</v>
      </c>
      <c r="M79">
        <v>-1975</v>
      </c>
      <c r="N79">
        <v>0.02</v>
      </c>
      <c r="O79">
        <v>0.76944334000000003</v>
      </c>
      <c r="P79" t="str">
        <f>_xlfn.XLOOKUP(G79,'Kraken Trades'!$A$2:$A$28,'Kraken Trades'!$A$2:$A$28,"--",0)</f>
        <v>--</v>
      </c>
      <c r="Q79" t="str">
        <f>_xlfn.XLOOKUP(G79,'Kraken Trades'!$A$2:$A$28,'Kraken Trades'!$B$2:$B$28,"--",0)</f>
        <v>--</v>
      </c>
      <c r="R79" t="str">
        <f>_xlfn.XLOOKUP(G79,'Kraken Trades'!$A$2:$A$28,'Kraken Trades'!$C$2:$C$28,"--",0)</f>
        <v>--</v>
      </c>
      <c r="S79" t="str">
        <f>_xlfn.XLOOKUP(G79,'Kraken Trades'!$A$2:$A$28,'Kraken Trades'!$D$2:$D$28,"--",0)</f>
        <v>--</v>
      </c>
      <c r="T79" t="str">
        <f>_xlfn.XLOOKUP(G79,'Kraken Trades'!$A$2:$A$28,'Kraken Trades'!$E$2:$E$28,"--",0)</f>
        <v>--</v>
      </c>
      <c r="U79" t="str">
        <f>_xlfn.XLOOKUP(G79,'Kraken Trades'!$A$2:$A$28,'Kraken Trades'!$F$2:$F$28,"--",0)</f>
        <v>--</v>
      </c>
      <c r="V79" t="str">
        <f>_xlfn.XLOOKUP(G79,'Kraken Trades'!$A$2:$A$28,'Kraken Trades'!$G$2:$G$28,"--",0)</f>
        <v>--</v>
      </c>
      <c r="W79" t="str">
        <f>_xlfn.XLOOKUP(G79,'Kraken Trades'!$A$2:$A$28,'Kraken Trades'!$H$2:$H$28,"--",0)</f>
        <v>--</v>
      </c>
      <c r="X79" t="str">
        <f>_xlfn.XLOOKUP(G79,'Kraken Trades'!$A$2:$A$28,'Kraken Trades'!$I$2:$I$28,"--",0)</f>
        <v>--</v>
      </c>
      <c r="Y79" t="str">
        <f>_xlfn.XLOOKUP(G79,'Kraken Trades'!$A$2:$A$28,'Kraken Trades'!$J$2:$J$28,"--",0)</f>
        <v>--</v>
      </c>
      <c r="Z79" t="str">
        <f>_xlfn.XLOOKUP(G79,'Kraken Trades'!$A$2:$A$28,'Kraken Trades'!$K$2:$K$28,"--",0)</f>
        <v>--</v>
      </c>
      <c r="AA79" t="str">
        <f>_xlfn.XLOOKUP(G79,'Kraken Trades'!$A$2:$A$28,'Kraken Trades'!$L$2:$L$28,"--",0)</f>
        <v>--</v>
      </c>
      <c r="AB79" t="str">
        <f>_xlfn.XLOOKUP(G79,'Kraken Trades'!$A$2:$A$28,'Kraken Trades'!$M$2:$M$28,"--",0)</f>
        <v>--</v>
      </c>
    </row>
    <row r="80" spans="1:28" x14ac:dyDescent="0.15">
      <c r="A80" s="78">
        <v>45104</v>
      </c>
      <c r="B80" t="s">
        <v>104</v>
      </c>
      <c r="E80" t="str">
        <f>_xlfn.XLOOKUP(D80,'DEST TAGs'!$A$2:$A$5,'DEST TAGs'!$B$2:$B$5,"--",0)</f>
        <v>--</v>
      </c>
      <c r="F80" t="s">
        <v>200</v>
      </c>
      <c r="G80" t="s">
        <v>201</v>
      </c>
      <c r="H80" s="70">
        <v>45032.734722222223</v>
      </c>
      <c r="I80" t="s">
        <v>112</v>
      </c>
      <c r="K80" t="s">
        <v>107</v>
      </c>
      <c r="L80" t="s">
        <v>108</v>
      </c>
      <c r="M80">
        <v>-98.857500000000002</v>
      </c>
      <c r="N80">
        <v>0</v>
      </c>
      <c r="O80">
        <v>104.40219999999999</v>
      </c>
      <c r="P80" t="str">
        <f>_xlfn.XLOOKUP(G80,'Kraken Trades'!$A$2:$A$28,'Kraken Trades'!$A$2:$A$28,"--",0)</f>
        <v>TABUT2-6TCYQ-U2OQ3G</v>
      </c>
      <c r="Q80" t="str">
        <f>_xlfn.XLOOKUP(G80,'Kraken Trades'!$A$2:$A$28,'Kraken Trades'!$B$2:$B$28,"--",0)</f>
        <v>OJFZRV-MR4H3-OT5OQC</v>
      </c>
      <c r="R80" t="str">
        <f>_xlfn.XLOOKUP(G80,'Kraken Trades'!$A$2:$A$28,'Kraken Trades'!$C$2:$C$28,"--",0)</f>
        <v>XRPGBP</v>
      </c>
      <c r="S80">
        <f>_xlfn.XLOOKUP(G80,'Kraken Trades'!$A$2:$A$28,'Kraken Trades'!$D$2:$D$28,"--",0)</f>
        <v>2.6589120370370371E-2</v>
      </c>
      <c r="T80" t="str">
        <f>_xlfn.XLOOKUP(G80,'Kraken Trades'!$A$2:$A$28,'Kraken Trades'!$E$2:$E$28,"--",0)</f>
        <v>buy</v>
      </c>
      <c r="U80" t="str">
        <f>_xlfn.XLOOKUP(G80,'Kraken Trades'!$A$2:$A$28,'Kraken Trades'!$F$2:$F$28,"--",0)</f>
        <v>market</v>
      </c>
      <c r="V80">
        <f>_xlfn.XLOOKUP(G80,'Kraken Trades'!$A$2:$A$28,'Kraken Trades'!$G$2:$G$28,"--",0)</f>
        <v>0.42066999999999999</v>
      </c>
      <c r="W80">
        <f>_xlfn.XLOOKUP(G80,'Kraken Trades'!$A$2:$A$28,'Kraken Trades'!$H$2:$H$28,"--",0)</f>
        <v>98.85745</v>
      </c>
      <c r="X80">
        <f>_xlfn.XLOOKUP(G80,'Kraken Trades'!$A$2:$A$28,'Kraken Trades'!$I$2:$I$28,"--",0)</f>
        <v>0.25702936999999998</v>
      </c>
      <c r="Y80">
        <f>_xlfn.XLOOKUP(G80,'Kraken Trades'!$A$2:$A$28,'Kraken Trades'!$J$2:$J$28,"--",0)</f>
        <v>235</v>
      </c>
      <c r="Z80">
        <f>_xlfn.XLOOKUP(G80,'Kraken Trades'!$A$2:$A$28,'Kraken Trades'!$K$2:$K$28,"--",0)</f>
        <v>0</v>
      </c>
      <c r="AA80" t="str">
        <f>_xlfn.XLOOKUP(G80,'Kraken Trades'!$A$2:$A$28,'Kraken Trades'!$L$2:$L$28,"--",0)</f>
        <v>initiated</v>
      </c>
      <c r="AB80" t="str">
        <f>_xlfn.XLOOKUP(G80,'Kraken Trades'!$A$2:$A$28,'Kraken Trades'!$M$2:$M$28,"--",0)</f>
        <v>LSRT4P-ZF56G-DOKHCB,LET3FK-M2Y2E-OFAZFN,LWSASC-3X4CP-OD5E5A</v>
      </c>
    </row>
    <row r="81" spans="1:28" x14ac:dyDescent="0.15">
      <c r="A81" s="78">
        <v>45104</v>
      </c>
      <c r="B81" t="s">
        <v>104</v>
      </c>
      <c r="E81" t="str">
        <f>_xlfn.XLOOKUP(D81,'DEST TAGs'!$A$2:$A$5,'DEST TAGs'!$B$2:$B$5,"--",0)</f>
        <v>--</v>
      </c>
      <c r="F81" t="s">
        <v>202</v>
      </c>
      <c r="G81" t="s">
        <v>201</v>
      </c>
      <c r="H81" s="70">
        <v>45032.734722222223</v>
      </c>
      <c r="I81" t="s">
        <v>112</v>
      </c>
      <c r="K81" t="s">
        <v>107</v>
      </c>
      <c r="L81" t="s">
        <v>114</v>
      </c>
      <c r="M81">
        <v>235</v>
      </c>
      <c r="N81">
        <v>0</v>
      </c>
      <c r="O81">
        <v>235.76944330000001</v>
      </c>
      <c r="P81" t="str">
        <f>_xlfn.XLOOKUP(G81,'Kraken Trades'!$A$2:$A$28,'Kraken Trades'!$A$2:$A$28,"--",0)</f>
        <v>TABUT2-6TCYQ-U2OQ3G</v>
      </c>
      <c r="Q81" t="str">
        <f>_xlfn.XLOOKUP(G81,'Kraken Trades'!$A$2:$A$28,'Kraken Trades'!$B$2:$B$28,"--",0)</f>
        <v>OJFZRV-MR4H3-OT5OQC</v>
      </c>
      <c r="R81" t="str">
        <f>_xlfn.XLOOKUP(G81,'Kraken Trades'!$A$2:$A$28,'Kraken Trades'!$C$2:$C$28,"--",0)</f>
        <v>XRPGBP</v>
      </c>
      <c r="S81">
        <f>_xlfn.XLOOKUP(G81,'Kraken Trades'!$A$2:$A$28,'Kraken Trades'!$D$2:$D$28,"--",0)</f>
        <v>2.6589120370370371E-2</v>
      </c>
      <c r="T81" t="str">
        <f>_xlfn.XLOOKUP(G81,'Kraken Trades'!$A$2:$A$28,'Kraken Trades'!$E$2:$E$28,"--",0)</f>
        <v>buy</v>
      </c>
      <c r="U81" t="str">
        <f>_xlfn.XLOOKUP(G81,'Kraken Trades'!$A$2:$A$28,'Kraken Trades'!$F$2:$F$28,"--",0)</f>
        <v>market</v>
      </c>
      <c r="V81">
        <f>_xlfn.XLOOKUP(G81,'Kraken Trades'!$A$2:$A$28,'Kraken Trades'!$G$2:$G$28,"--",0)</f>
        <v>0.42066999999999999</v>
      </c>
      <c r="W81">
        <f>_xlfn.XLOOKUP(G81,'Kraken Trades'!$A$2:$A$28,'Kraken Trades'!$H$2:$H$28,"--",0)</f>
        <v>98.85745</v>
      </c>
      <c r="X81">
        <f>_xlfn.XLOOKUP(G81,'Kraken Trades'!$A$2:$A$28,'Kraken Trades'!$I$2:$I$28,"--",0)</f>
        <v>0.25702936999999998</v>
      </c>
      <c r="Y81">
        <f>_xlfn.XLOOKUP(G81,'Kraken Trades'!$A$2:$A$28,'Kraken Trades'!$J$2:$J$28,"--",0)</f>
        <v>235</v>
      </c>
      <c r="Z81">
        <f>_xlfn.XLOOKUP(G81,'Kraken Trades'!$A$2:$A$28,'Kraken Trades'!$K$2:$K$28,"--",0)</f>
        <v>0</v>
      </c>
      <c r="AA81" t="str">
        <f>_xlfn.XLOOKUP(G81,'Kraken Trades'!$A$2:$A$28,'Kraken Trades'!$L$2:$L$28,"--",0)</f>
        <v>initiated</v>
      </c>
      <c r="AB81" t="str">
        <f>_xlfn.XLOOKUP(G81,'Kraken Trades'!$A$2:$A$28,'Kraken Trades'!$M$2:$M$28,"--",0)</f>
        <v>LSRT4P-ZF56G-DOKHCB,LET3FK-M2Y2E-OFAZFN,LWSASC-3X4CP-OD5E5A</v>
      </c>
    </row>
    <row r="82" spans="1:28" x14ac:dyDescent="0.15">
      <c r="A82" s="78">
        <v>45104</v>
      </c>
      <c r="B82" t="s">
        <v>104</v>
      </c>
      <c r="E82" t="str">
        <f>_xlfn.XLOOKUP(D82,'DEST TAGs'!$A$2:$A$5,'DEST TAGs'!$B$2:$B$5,"--",0)</f>
        <v>--</v>
      </c>
      <c r="F82" t="s">
        <v>203</v>
      </c>
      <c r="G82" t="s">
        <v>201</v>
      </c>
      <c r="H82" s="70">
        <v>45032.734722222223</v>
      </c>
      <c r="I82" t="s">
        <v>112</v>
      </c>
      <c r="K82" t="s">
        <v>107</v>
      </c>
      <c r="L82" t="s">
        <v>116</v>
      </c>
      <c r="M82">
        <v>0</v>
      </c>
      <c r="N82">
        <v>31.91</v>
      </c>
      <c r="O82">
        <v>5841.8</v>
      </c>
      <c r="P82" t="str">
        <f>_xlfn.XLOOKUP(G82,'Kraken Trades'!$A$2:$A$28,'Kraken Trades'!$A$2:$A$28,"--",0)</f>
        <v>TABUT2-6TCYQ-U2OQ3G</v>
      </c>
      <c r="Q82" t="str">
        <f>_xlfn.XLOOKUP(G82,'Kraken Trades'!$A$2:$A$28,'Kraken Trades'!$B$2:$B$28,"--",0)</f>
        <v>OJFZRV-MR4H3-OT5OQC</v>
      </c>
      <c r="R82" t="str">
        <f>_xlfn.XLOOKUP(G82,'Kraken Trades'!$A$2:$A$28,'Kraken Trades'!$C$2:$C$28,"--",0)</f>
        <v>XRPGBP</v>
      </c>
      <c r="S82">
        <f>_xlfn.XLOOKUP(G82,'Kraken Trades'!$A$2:$A$28,'Kraken Trades'!$D$2:$D$28,"--",0)</f>
        <v>2.6589120370370371E-2</v>
      </c>
      <c r="T82" t="str">
        <f>_xlfn.XLOOKUP(G82,'Kraken Trades'!$A$2:$A$28,'Kraken Trades'!$E$2:$E$28,"--",0)</f>
        <v>buy</v>
      </c>
      <c r="U82" t="str">
        <f>_xlfn.XLOOKUP(G82,'Kraken Trades'!$A$2:$A$28,'Kraken Trades'!$F$2:$F$28,"--",0)</f>
        <v>market</v>
      </c>
      <c r="V82">
        <f>_xlfn.XLOOKUP(G82,'Kraken Trades'!$A$2:$A$28,'Kraken Trades'!$G$2:$G$28,"--",0)</f>
        <v>0.42066999999999999</v>
      </c>
      <c r="W82">
        <f>_xlfn.XLOOKUP(G82,'Kraken Trades'!$A$2:$A$28,'Kraken Trades'!$H$2:$H$28,"--",0)</f>
        <v>98.85745</v>
      </c>
      <c r="X82">
        <f>_xlfn.XLOOKUP(G82,'Kraken Trades'!$A$2:$A$28,'Kraken Trades'!$I$2:$I$28,"--",0)</f>
        <v>0.25702936999999998</v>
      </c>
      <c r="Y82">
        <f>_xlfn.XLOOKUP(G82,'Kraken Trades'!$A$2:$A$28,'Kraken Trades'!$J$2:$J$28,"--",0)</f>
        <v>235</v>
      </c>
      <c r="Z82">
        <f>_xlfn.XLOOKUP(G82,'Kraken Trades'!$A$2:$A$28,'Kraken Trades'!$K$2:$K$28,"--",0)</f>
        <v>0</v>
      </c>
      <c r="AA82" t="str">
        <f>_xlfn.XLOOKUP(G82,'Kraken Trades'!$A$2:$A$28,'Kraken Trades'!$L$2:$L$28,"--",0)</f>
        <v>initiated</v>
      </c>
      <c r="AB82" t="str">
        <f>_xlfn.XLOOKUP(G82,'Kraken Trades'!$A$2:$A$28,'Kraken Trades'!$M$2:$M$28,"--",0)</f>
        <v>LSRT4P-ZF56G-DOKHCB,LET3FK-M2Y2E-OFAZFN,LWSASC-3X4CP-OD5E5A</v>
      </c>
    </row>
    <row r="83" spans="1:28" x14ac:dyDescent="0.15">
      <c r="A83" s="78">
        <v>45104</v>
      </c>
      <c r="B83" t="s">
        <v>104</v>
      </c>
      <c r="E83" t="str">
        <f>_xlfn.XLOOKUP(D83,'DEST TAGs'!$A$2:$A$5,'DEST TAGs'!$B$2:$B$5,"--",0)</f>
        <v>--</v>
      </c>
      <c r="G83" t="s">
        <v>204</v>
      </c>
      <c r="H83" s="70">
        <v>45032.73541666667</v>
      </c>
      <c r="I83" t="s">
        <v>118</v>
      </c>
      <c r="K83" t="s">
        <v>107</v>
      </c>
      <c r="L83" t="s">
        <v>114</v>
      </c>
      <c r="M83">
        <v>-235</v>
      </c>
      <c r="N83">
        <v>0.02</v>
      </c>
      <c r="P83" t="str">
        <f>_xlfn.XLOOKUP(G83,'Kraken Trades'!$A$2:$A$28,'Kraken Trades'!$A$2:$A$28,"--",0)</f>
        <v>--</v>
      </c>
      <c r="Q83" t="str">
        <f>_xlfn.XLOOKUP(G83,'Kraken Trades'!$A$2:$A$28,'Kraken Trades'!$B$2:$B$28,"--",0)</f>
        <v>--</v>
      </c>
      <c r="R83" t="str">
        <f>_xlfn.XLOOKUP(G83,'Kraken Trades'!$A$2:$A$28,'Kraken Trades'!$C$2:$C$28,"--",0)</f>
        <v>--</v>
      </c>
      <c r="S83" t="str">
        <f>_xlfn.XLOOKUP(G83,'Kraken Trades'!$A$2:$A$28,'Kraken Trades'!$D$2:$D$28,"--",0)</f>
        <v>--</v>
      </c>
      <c r="T83" t="str">
        <f>_xlfn.XLOOKUP(G83,'Kraken Trades'!$A$2:$A$28,'Kraken Trades'!$E$2:$E$28,"--",0)</f>
        <v>--</v>
      </c>
      <c r="U83" t="str">
        <f>_xlfn.XLOOKUP(G83,'Kraken Trades'!$A$2:$A$28,'Kraken Trades'!$F$2:$F$28,"--",0)</f>
        <v>--</v>
      </c>
      <c r="V83" t="str">
        <f>_xlfn.XLOOKUP(G83,'Kraken Trades'!$A$2:$A$28,'Kraken Trades'!$G$2:$G$28,"--",0)</f>
        <v>--</v>
      </c>
      <c r="W83" t="str">
        <f>_xlfn.XLOOKUP(G83,'Kraken Trades'!$A$2:$A$28,'Kraken Trades'!$H$2:$H$28,"--",0)</f>
        <v>--</v>
      </c>
      <c r="X83" t="str">
        <f>_xlfn.XLOOKUP(G83,'Kraken Trades'!$A$2:$A$28,'Kraken Trades'!$I$2:$I$28,"--",0)</f>
        <v>--</v>
      </c>
      <c r="Y83" t="str">
        <f>_xlfn.XLOOKUP(G83,'Kraken Trades'!$A$2:$A$28,'Kraken Trades'!$J$2:$J$28,"--",0)</f>
        <v>--</v>
      </c>
      <c r="Z83" t="str">
        <f>_xlfn.XLOOKUP(G83,'Kraken Trades'!$A$2:$A$28,'Kraken Trades'!$K$2:$K$28,"--",0)</f>
        <v>--</v>
      </c>
      <c r="AA83" t="str">
        <f>_xlfn.XLOOKUP(G83,'Kraken Trades'!$A$2:$A$28,'Kraken Trades'!$L$2:$L$28,"--",0)</f>
        <v>--</v>
      </c>
      <c r="AB83" t="str">
        <f>_xlfn.XLOOKUP(G83,'Kraken Trades'!$A$2:$A$28,'Kraken Trades'!$M$2:$M$28,"--",0)</f>
        <v>--</v>
      </c>
    </row>
    <row r="84" spans="1:28" x14ac:dyDescent="0.15">
      <c r="A84" s="78">
        <v>45104</v>
      </c>
      <c r="B84" t="s">
        <v>104</v>
      </c>
      <c r="C84" s="77" t="s">
        <v>60</v>
      </c>
      <c r="D84">
        <v>442734179</v>
      </c>
      <c r="E84" t="str">
        <f>_xlfn.XLOOKUP(D84,'DEST TAGs'!$A$2:$A$5,'DEST TAGs'!$B$2:$B$5,"--",0)</f>
        <v>Evgeniy Ulyukin</v>
      </c>
      <c r="F84" t="s">
        <v>205</v>
      </c>
      <c r="G84" t="s">
        <v>204</v>
      </c>
      <c r="H84" s="70">
        <v>45032.736805555556</v>
      </c>
      <c r="I84" t="s">
        <v>118</v>
      </c>
      <c r="K84" t="s">
        <v>107</v>
      </c>
      <c r="L84" t="s">
        <v>114</v>
      </c>
      <c r="M84">
        <v>-235</v>
      </c>
      <c r="N84">
        <v>0.02</v>
      </c>
      <c r="O84">
        <v>0.74944334000000001</v>
      </c>
      <c r="P84" t="str">
        <f>_xlfn.XLOOKUP(G84,'Kraken Trades'!$A$2:$A$28,'Kraken Trades'!$A$2:$A$28,"--",0)</f>
        <v>--</v>
      </c>
      <c r="Q84" t="str">
        <f>_xlfn.XLOOKUP(G84,'Kraken Trades'!$A$2:$A$28,'Kraken Trades'!$B$2:$B$28,"--",0)</f>
        <v>--</v>
      </c>
      <c r="R84" t="str">
        <f>_xlfn.XLOOKUP(G84,'Kraken Trades'!$A$2:$A$28,'Kraken Trades'!$C$2:$C$28,"--",0)</f>
        <v>--</v>
      </c>
      <c r="S84" t="str">
        <f>_xlfn.XLOOKUP(G84,'Kraken Trades'!$A$2:$A$28,'Kraken Trades'!$D$2:$D$28,"--",0)</f>
        <v>--</v>
      </c>
      <c r="T84" t="str">
        <f>_xlfn.XLOOKUP(G84,'Kraken Trades'!$A$2:$A$28,'Kraken Trades'!$E$2:$E$28,"--",0)</f>
        <v>--</v>
      </c>
      <c r="U84" t="str">
        <f>_xlfn.XLOOKUP(G84,'Kraken Trades'!$A$2:$A$28,'Kraken Trades'!$F$2:$F$28,"--",0)</f>
        <v>--</v>
      </c>
      <c r="V84" t="str">
        <f>_xlfn.XLOOKUP(G84,'Kraken Trades'!$A$2:$A$28,'Kraken Trades'!$G$2:$G$28,"--",0)</f>
        <v>--</v>
      </c>
      <c r="W84" t="str">
        <f>_xlfn.XLOOKUP(G84,'Kraken Trades'!$A$2:$A$28,'Kraken Trades'!$H$2:$H$28,"--",0)</f>
        <v>--</v>
      </c>
      <c r="X84" t="str">
        <f>_xlfn.XLOOKUP(G84,'Kraken Trades'!$A$2:$A$28,'Kraken Trades'!$I$2:$I$28,"--",0)</f>
        <v>--</v>
      </c>
      <c r="Y84" t="str">
        <f>_xlfn.XLOOKUP(G84,'Kraken Trades'!$A$2:$A$28,'Kraken Trades'!$J$2:$J$28,"--",0)</f>
        <v>--</v>
      </c>
      <c r="Z84" t="str">
        <f>_xlfn.XLOOKUP(G84,'Kraken Trades'!$A$2:$A$28,'Kraken Trades'!$K$2:$K$28,"--",0)</f>
        <v>--</v>
      </c>
      <c r="AA84" t="str">
        <f>_xlfn.XLOOKUP(G84,'Kraken Trades'!$A$2:$A$28,'Kraken Trades'!$L$2:$L$28,"--",0)</f>
        <v>--</v>
      </c>
      <c r="AB84" t="str">
        <f>_xlfn.XLOOKUP(G84,'Kraken Trades'!$A$2:$A$28,'Kraken Trades'!$M$2:$M$28,"--",0)</f>
        <v>--</v>
      </c>
    </row>
    <row r="85" spans="1:28" x14ac:dyDescent="0.15">
      <c r="A85" s="78">
        <v>45104</v>
      </c>
      <c r="B85" t="s">
        <v>104</v>
      </c>
      <c r="E85" t="str">
        <f>_xlfn.XLOOKUP(D85,'DEST TAGs'!$A$2:$A$5,'DEST TAGs'!$B$2:$B$5,"--",0)</f>
        <v>--</v>
      </c>
      <c r="G85" t="s">
        <v>206</v>
      </c>
      <c r="H85" s="70">
        <v>45037.418055555558</v>
      </c>
      <c r="I85" t="s">
        <v>106</v>
      </c>
      <c r="K85" t="s">
        <v>107</v>
      </c>
      <c r="L85" t="s">
        <v>108</v>
      </c>
      <c r="M85">
        <v>3500</v>
      </c>
      <c r="N85">
        <v>0</v>
      </c>
      <c r="P85" t="str">
        <f>_xlfn.XLOOKUP(G85,'Kraken Trades'!$A$2:$A$28,'Kraken Trades'!$A$2:$A$28,"--",0)</f>
        <v>--</v>
      </c>
      <c r="Q85" t="str">
        <f>_xlfn.XLOOKUP(G85,'Kraken Trades'!$A$2:$A$28,'Kraken Trades'!$B$2:$B$28,"--",0)</f>
        <v>--</v>
      </c>
      <c r="R85" t="str">
        <f>_xlfn.XLOOKUP(G85,'Kraken Trades'!$A$2:$A$28,'Kraken Trades'!$C$2:$C$28,"--",0)</f>
        <v>--</v>
      </c>
      <c r="S85" t="str">
        <f>_xlfn.XLOOKUP(G85,'Kraken Trades'!$A$2:$A$28,'Kraken Trades'!$D$2:$D$28,"--",0)</f>
        <v>--</v>
      </c>
      <c r="T85" t="str">
        <f>_xlfn.XLOOKUP(G85,'Kraken Trades'!$A$2:$A$28,'Kraken Trades'!$E$2:$E$28,"--",0)</f>
        <v>--</v>
      </c>
      <c r="U85" t="str">
        <f>_xlfn.XLOOKUP(G85,'Kraken Trades'!$A$2:$A$28,'Kraken Trades'!$F$2:$F$28,"--",0)</f>
        <v>--</v>
      </c>
      <c r="V85" t="str">
        <f>_xlfn.XLOOKUP(G85,'Kraken Trades'!$A$2:$A$28,'Kraken Trades'!$G$2:$G$28,"--",0)</f>
        <v>--</v>
      </c>
      <c r="W85" t="str">
        <f>_xlfn.XLOOKUP(G85,'Kraken Trades'!$A$2:$A$28,'Kraken Trades'!$H$2:$H$28,"--",0)</f>
        <v>--</v>
      </c>
      <c r="X85" t="str">
        <f>_xlfn.XLOOKUP(G85,'Kraken Trades'!$A$2:$A$28,'Kraken Trades'!$I$2:$I$28,"--",0)</f>
        <v>--</v>
      </c>
      <c r="Y85" t="str">
        <f>_xlfn.XLOOKUP(G85,'Kraken Trades'!$A$2:$A$28,'Kraken Trades'!$J$2:$J$28,"--",0)</f>
        <v>--</v>
      </c>
      <c r="Z85" t="str">
        <f>_xlfn.XLOOKUP(G85,'Kraken Trades'!$A$2:$A$28,'Kraken Trades'!$K$2:$K$28,"--",0)</f>
        <v>--</v>
      </c>
      <c r="AA85" t="str">
        <f>_xlfn.XLOOKUP(G85,'Kraken Trades'!$A$2:$A$28,'Kraken Trades'!$L$2:$L$28,"--",0)</f>
        <v>--</v>
      </c>
      <c r="AB85" t="str">
        <f>_xlfn.XLOOKUP(G85,'Kraken Trades'!$A$2:$A$28,'Kraken Trades'!$M$2:$M$28,"--",0)</f>
        <v>--</v>
      </c>
    </row>
    <row r="86" spans="1:28" x14ac:dyDescent="0.15">
      <c r="A86" s="78">
        <v>45104</v>
      </c>
      <c r="B86" t="s">
        <v>104</v>
      </c>
      <c r="E86" t="str">
        <f>_xlfn.XLOOKUP(D86,'DEST TAGs'!$A$2:$A$5,'DEST TAGs'!$B$2:$B$5,"--",0)</f>
        <v>--</v>
      </c>
      <c r="F86" t="s">
        <v>207</v>
      </c>
      <c r="G86" t="s">
        <v>206</v>
      </c>
      <c r="H86" s="70">
        <v>45037.427083333336</v>
      </c>
      <c r="I86" t="s">
        <v>106</v>
      </c>
      <c r="K86" t="s">
        <v>107</v>
      </c>
      <c r="L86" t="s">
        <v>108</v>
      </c>
      <c r="M86">
        <v>3500</v>
      </c>
      <c r="N86">
        <v>0</v>
      </c>
      <c r="O86">
        <v>3604.4022</v>
      </c>
      <c r="P86" t="str">
        <f>_xlfn.XLOOKUP(G86,'Kraken Trades'!$A$2:$A$28,'Kraken Trades'!$A$2:$A$28,"--",0)</f>
        <v>--</v>
      </c>
      <c r="Q86" t="str">
        <f>_xlfn.XLOOKUP(G86,'Kraken Trades'!$A$2:$A$28,'Kraken Trades'!$B$2:$B$28,"--",0)</f>
        <v>--</v>
      </c>
      <c r="R86" t="str">
        <f>_xlfn.XLOOKUP(G86,'Kraken Trades'!$A$2:$A$28,'Kraken Trades'!$C$2:$C$28,"--",0)</f>
        <v>--</v>
      </c>
      <c r="S86" t="str">
        <f>_xlfn.XLOOKUP(G86,'Kraken Trades'!$A$2:$A$28,'Kraken Trades'!$D$2:$D$28,"--",0)</f>
        <v>--</v>
      </c>
      <c r="T86" t="str">
        <f>_xlfn.XLOOKUP(G86,'Kraken Trades'!$A$2:$A$28,'Kraken Trades'!$E$2:$E$28,"--",0)</f>
        <v>--</v>
      </c>
      <c r="U86" t="str">
        <f>_xlfn.XLOOKUP(G86,'Kraken Trades'!$A$2:$A$28,'Kraken Trades'!$F$2:$F$28,"--",0)</f>
        <v>--</v>
      </c>
      <c r="V86" t="str">
        <f>_xlfn.XLOOKUP(G86,'Kraken Trades'!$A$2:$A$28,'Kraken Trades'!$G$2:$G$28,"--",0)</f>
        <v>--</v>
      </c>
      <c r="W86" t="str">
        <f>_xlfn.XLOOKUP(G86,'Kraken Trades'!$A$2:$A$28,'Kraken Trades'!$H$2:$H$28,"--",0)</f>
        <v>--</v>
      </c>
      <c r="X86" t="str">
        <f>_xlfn.XLOOKUP(G86,'Kraken Trades'!$A$2:$A$28,'Kraken Trades'!$I$2:$I$28,"--",0)</f>
        <v>--</v>
      </c>
      <c r="Y86" t="str">
        <f>_xlfn.XLOOKUP(G86,'Kraken Trades'!$A$2:$A$28,'Kraken Trades'!$J$2:$J$28,"--",0)</f>
        <v>--</v>
      </c>
      <c r="Z86" t="str">
        <f>_xlfn.XLOOKUP(G86,'Kraken Trades'!$A$2:$A$28,'Kraken Trades'!$K$2:$K$28,"--",0)</f>
        <v>--</v>
      </c>
      <c r="AA86" t="str">
        <f>_xlfn.XLOOKUP(G86,'Kraken Trades'!$A$2:$A$28,'Kraken Trades'!$L$2:$L$28,"--",0)</f>
        <v>--</v>
      </c>
      <c r="AB86" t="str">
        <f>_xlfn.XLOOKUP(G86,'Kraken Trades'!$A$2:$A$28,'Kraken Trades'!$M$2:$M$28,"--",0)</f>
        <v>--</v>
      </c>
    </row>
    <row r="87" spans="1:28" x14ac:dyDescent="0.15">
      <c r="A87" s="78">
        <v>45104</v>
      </c>
      <c r="B87" t="s">
        <v>104</v>
      </c>
      <c r="E87" t="str">
        <f>_xlfn.XLOOKUP(D87,'DEST TAGs'!$A$2:$A$5,'DEST TAGs'!$B$2:$B$5,"--",0)</f>
        <v>--</v>
      </c>
      <c r="F87" t="s">
        <v>208</v>
      </c>
      <c r="G87" t="s">
        <v>209</v>
      </c>
      <c r="H87" s="70">
        <v>45037.488888888889</v>
      </c>
      <c r="I87" t="s">
        <v>112</v>
      </c>
      <c r="K87" t="s">
        <v>107</v>
      </c>
      <c r="L87" t="s">
        <v>108</v>
      </c>
      <c r="M87">
        <v>-860.89660000000003</v>
      </c>
      <c r="N87">
        <v>0</v>
      </c>
      <c r="O87">
        <v>2743.5056</v>
      </c>
      <c r="P87" t="str">
        <f>_xlfn.XLOOKUP(G87,'Kraken Trades'!$A$2:$A$28,'Kraken Trades'!$A$2:$A$28,"--",0)</f>
        <v>T7CJOI-B2NNA-2XOZVX</v>
      </c>
      <c r="Q87" t="str">
        <f>_xlfn.XLOOKUP(G87,'Kraken Trades'!$A$2:$A$28,'Kraken Trades'!$B$2:$B$28,"--",0)</f>
        <v>ONWRF5-UZ2FN-ZUG2A6</v>
      </c>
      <c r="R87" t="str">
        <f>_xlfn.XLOOKUP(G87,'Kraken Trades'!$A$2:$A$28,'Kraken Trades'!$C$2:$C$28,"--",0)</f>
        <v>XRPGBP</v>
      </c>
      <c r="S87">
        <f>_xlfn.XLOOKUP(G87,'Kraken Trades'!$A$2:$A$28,'Kraken Trades'!$D$2:$D$28,"--",0)</f>
        <v>3.1121527777777779E-2</v>
      </c>
      <c r="T87" t="str">
        <f>_xlfn.XLOOKUP(G87,'Kraken Trades'!$A$2:$A$28,'Kraken Trades'!$E$2:$E$28,"--",0)</f>
        <v>buy</v>
      </c>
      <c r="U87" t="str">
        <f>_xlfn.XLOOKUP(G87,'Kraken Trades'!$A$2:$A$28,'Kraken Trades'!$F$2:$F$28,"--",0)</f>
        <v>market</v>
      </c>
      <c r="V87">
        <f>_xlfn.XLOOKUP(G87,'Kraken Trades'!$A$2:$A$28,'Kraken Trades'!$G$2:$G$28,"--",0)</f>
        <v>0.37675999999999998</v>
      </c>
      <c r="W87">
        <f>_xlfn.XLOOKUP(G87,'Kraken Trades'!$A$2:$A$28,'Kraken Trades'!$H$2:$H$28,"--",0)</f>
        <v>860.89660000000003</v>
      </c>
      <c r="X87">
        <f>_xlfn.XLOOKUP(G87,'Kraken Trades'!$A$2:$A$28,'Kraken Trades'!$I$2:$I$28,"--",0)</f>
        <v>2.23833116</v>
      </c>
      <c r="Y87">
        <f>_xlfn.XLOOKUP(G87,'Kraken Trades'!$A$2:$A$28,'Kraken Trades'!$J$2:$J$28,"--",0)</f>
        <v>2285</v>
      </c>
      <c r="Z87">
        <f>_xlfn.XLOOKUP(G87,'Kraken Trades'!$A$2:$A$28,'Kraken Trades'!$K$2:$K$28,"--",0)</f>
        <v>0</v>
      </c>
      <c r="AA87" t="str">
        <f>_xlfn.XLOOKUP(G87,'Kraken Trades'!$A$2:$A$28,'Kraken Trades'!$L$2:$L$28,"--",0)</f>
        <v>initiated</v>
      </c>
      <c r="AB87" t="str">
        <f>_xlfn.XLOOKUP(G87,'Kraken Trades'!$A$2:$A$28,'Kraken Trades'!$M$2:$M$28,"--",0)</f>
        <v>LOHSU5-BSLCE-ZQLVUP,L6574Z-POCSK-2F2GNE,LYQPUH-I32RR-YE44I3</v>
      </c>
    </row>
    <row r="88" spans="1:28" x14ac:dyDescent="0.15">
      <c r="A88" s="78">
        <v>45104</v>
      </c>
      <c r="B88" t="s">
        <v>104</v>
      </c>
      <c r="E88" t="str">
        <f>_xlfn.XLOOKUP(D88,'DEST TAGs'!$A$2:$A$5,'DEST TAGs'!$B$2:$B$5,"--",0)</f>
        <v>--</v>
      </c>
      <c r="F88" t="s">
        <v>210</v>
      </c>
      <c r="G88" t="s">
        <v>209</v>
      </c>
      <c r="H88" s="70">
        <v>45037.488888888889</v>
      </c>
      <c r="I88" t="s">
        <v>112</v>
      </c>
      <c r="K88" t="s">
        <v>107</v>
      </c>
      <c r="L88" t="s">
        <v>114</v>
      </c>
      <c r="M88">
        <v>2285</v>
      </c>
      <c r="N88">
        <v>0</v>
      </c>
      <c r="O88">
        <v>2285.7494430000002</v>
      </c>
      <c r="P88" t="str">
        <f>_xlfn.XLOOKUP(G88,'Kraken Trades'!$A$2:$A$28,'Kraken Trades'!$A$2:$A$28,"--",0)</f>
        <v>T7CJOI-B2NNA-2XOZVX</v>
      </c>
      <c r="Q88" t="str">
        <f>_xlfn.XLOOKUP(G88,'Kraken Trades'!$A$2:$A$28,'Kraken Trades'!$B$2:$B$28,"--",0)</f>
        <v>ONWRF5-UZ2FN-ZUG2A6</v>
      </c>
      <c r="R88" t="str">
        <f>_xlfn.XLOOKUP(G88,'Kraken Trades'!$A$2:$A$28,'Kraken Trades'!$C$2:$C$28,"--",0)</f>
        <v>XRPGBP</v>
      </c>
      <c r="S88">
        <f>_xlfn.XLOOKUP(G88,'Kraken Trades'!$A$2:$A$28,'Kraken Trades'!$D$2:$D$28,"--",0)</f>
        <v>3.1121527777777779E-2</v>
      </c>
      <c r="T88" t="str">
        <f>_xlfn.XLOOKUP(G88,'Kraken Trades'!$A$2:$A$28,'Kraken Trades'!$E$2:$E$28,"--",0)</f>
        <v>buy</v>
      </c>
      <c r="U88" t="str">
        <f>_xlfn.XLOOKUP(G88,'Kraken Trades'!$A$2:$A$28,'Kraken Trades'!$F$2:$F$28,"--",0)</f>
        <v>market</v>
      </c>
      <c r="V88">
        <f>_xlfn.XLOOKUP(G88,'Kraken Trades'!$A$2:$A$28,'Kraken Trades'!$G$2:$G$28,"--",0)</f>
        <v>0.37675999999999998</v>
      </c>
      <c r="W88">
        <f>_xlfn.XLOOKUP(G88,'Kraken Trades'!$A$2:$A$28,'Kraken Trades'!$H$2:$H$28,"--",0)</f>
        <v>860.89660000000003</v>
      </c>
      <c r="X88">
        <f>_xlfn.XLOOKUP(G88,'Kraken Trades'!$A$2:$A$28,'Kraken Trades'!$I$2:$I$28,"--",0)</f>
        <v>2.23833116</v>
      </c>
      <c r="Y88">
        <f>_xlfn.XLOOKUP(G88,'Kraken Trades'!$A$2:$A$28,'Kraken Trades'!$J$2:$J$28,"--",0)</f>
        <v>2285</v>
      </c>
      <c r="Z88">
        <f>_xlfn.XLOOKUP(G88,'Kraken Trades'!$A$2:$A$28,'Kraken Trades'!$K$2:$K$28,"--",0)</f>
        <v>0</v>
      </c>
      <c r="AA88" t="str">
        <f>_xlfn.XLOOKUP(G88,'Kraken Trades'!$A$2:$A$28,'Kraken Trades'!$L$2:$L$28,"--",0)</f>
        <v>initiated</v>
      </c>
      <c r="AB88" t="str">
        <f>_xlfn.XLOOKUP(G88,'Kraken Trades'!$A$2:$A$28,'Kraken Trades'!$M$2:$M$28,"--",0)</f>
        <v>LOHSU5-BSLCE-ZQLVUP,L6574Z-POCSK-2F2GNE,LYQPUH-I32RR-YE44I3</v>
      </c>
    </row>
    <row r="89" spans="1:28" x14ac:dyDescent="0.15">
      <c r="A89" s="78">
        <v>45104</v>
      </c>
      <c r="B89" t="s">
        <v>104</v>
      </c>
      <c r="E89" t="str">
        <f>_xlfn.XLOOKUP(D89,'DEST TAGs'!$A$2:$A$5,'DEST TAGs'!$B$2:$B$5,"--",0)</f>
        <v>--</v>
      </c>
      <c r="F89" t="s">
        <v>211</v>
      </c>
      <c r="G89" t="s">
        <v>209</v>
      </c>
      <c r="H89" s="70">
        <v>45037.488888888889</v>
      </c>
      <c r="I89" t="s">
        <v>112</v>
      </c>
      <c r="K89" t="s">
        <v>107</v>
      </c>
      <c r="L89" t="s">
        <v>116</v>
      </c>
      <c r="M89">
        <v>0</v>
      </c>
      <c r="N89">
        <v>277.32</v>
      </c>
      <c r="O89">
        <v>5564.48</v>
      </c>
      <c r="P89" t="str">
        <f>_xlfn.XLOOKUP(G89,'Kraken Trades'!$A$2:$A$28,'Kraken Trades'!$A$2:$A$28,"--",0)</f>
        <v>T7CJOI-B2NNA-2XOZVX</v>
      </c>
      <c r="Q89" t="str">
        <f>_xlfn.XLOOKUP(G89,'Kraken Trades'!$A$2:$A$28,'Kraken Trades'!$B$2:$B$28,"--",0)</f>
        <v>ONWRF5-UZ2FN-ZUG2A6</v>
      </c>
      <c r="R89" t="str">
        <f>_xlfn.XLOOKUP(G89,'Kraken Trades'!$A$2:$A$28,'Kraken Trades'!$C$2:$C$28,"--",0)</f>
        <v>XRPGBP</v>
      </c>
      <c r="S89">
        <f>_xlfn.XLOOKUP(G89,'Kraken Trades'!$A$2:$A$28,'Kraken Trades'!$D$2:$D$28,"--",0)</f>
        <v>3.1121527777777779E-2</v>
      </c>
      <c r="T89" t="str">
        <f>_xlfn.XLOOKUP(G89,'Kraken Trades'!$A$2:$A$28,'Kraken Trades'!$E$2:$E$28,"--",0)</f>
        <v>buy</v>
      </c>
      <c r="U89" t="str">
        <f>_xlfn.XLOOKUP(G89,'Kraken Trades'!$A$2:$A$28,'Kraken Trades'!$F$2:$F$28,"--",0)</f>
        <v>market</v>
      </c>
      <c r="V89">
        <f>_xlfn.XLOOKUP(G89,'Kraken Trades'!$A$2:$A$28,'Kraken Trades'!$G$2:$G$28,"--",0)</f>
        <v>0.37675999999999998</v>
      </c>
      <c r="W89">
        <f>_xlfn.XLOOKUP(G89,'Kraken Trades'!$A$2:$A$28,'Kraken Trades'!$H$2:$H$28,"--",0)</f>
        <v>860.89660000000003</v>
      </c>
      <c r="X89">
        <f>_xlfn.XLOOKUP(G89,'Kraken Trades'!$A$2:$A$28,'Kraken Trades'!$I$2:$I$28,"--",0)</f>
        <v>2.23833116</v>
      </c>
      <c r="Y89">
        <f>_xlfn.XLOOKUP(G89,'Kraken Trades'!$A$2:$A$28,'Kraken Trades'!$J$2:$J$28,"--",0)</f>
        <v>2285</v>
      </c>
      <c r="Z89">
        <f>_xlfn.XLOOKUP(G89,'Kraken Trades'!$A$2:$A$28,'Kraken Trades'!$K$2:$K$28,"--",0)</f>
        <v>0</v>
      </c>
      <c r="AA89" t="str">
        <f>_xlfn.XLOOKUP(G89,'Kraken Trades'!$A$2:$A$28,'Kraken Trades'!$L$2:$L$28,"--",0)</f>
        <v>initiated</v>
      </c>
      <c r="AB89" t="str">
        <f>_xlfn.XLOOKUP(G89,'Kraken Trades'!$A$2:$A$28,'Kraken Trades'!$M$2:$M$28,"--",0)</f>
        <v>LOHSU5-BSLCE-ZQLVUP,L6574Z-POCSK-2F2GNE,LYQPUH-I32RR-YE44I3</v>
      </c>
    </row>
    <row r="90" spans="1:28" x14ac:dyDescent="0.15">
      <c r="A90" s="78">
        <v>45104</v>
      </c>
      <c r="B90" t="s">
        <v>104</v>
      </c>
      <c r="E90" t="str">
        <f>_xlfn.XLOOKUP(D90,'DEST TAGs'!$A$2:$A$5,'DEST TAGs'!$B$2:$B$5,"--",0)</f>
        <v>--</v>
      </c>
      <c r="G90" t="s">
        <v>212</v>
      </c>
      <c r="H90" s="70">
        <v>45037.489583333336</v>
      </c>
      <c r="I90" t="s">
        <v>118</v>
      </c>
      <c r="K90" t="s">
        <v>107</v>
      </c>
      <c r="L90" t="s">
        <v>114</v>
      </c>
      <c r="M90">
        <v>-2285</v>
      </c>
      <c r="N90">
        <v>0.02</v>
      </c>
      <c r="P90" t="str">
        <f>_xlfn.XLOOKUP(G90,'Kraken Trades'!$A$2:$A$28,'Kraken Trades'!$A$2:$A$28,"--",0)</f>
        <v>--</v>
      </c>
      <c r="Q90" t="str">
        <f>_xlfn.XLOOKUP(G90,'Kraken Trades'!$A$2:$A$28,'Kraken Trades'!$B$2:$B$28,"--",0)</f>
        <v>--</v>
      </c>
      <c r="R90" t="str">
        <f>_xlfn.XLOOKUP(G90,'Kraken Trades'!$A$2:$A$28,'Kraken Trades'!$C$2:$C$28,"--",0)</f>
        <v>--</v>
      </c>
      <c r="S90" t="str">
        <f>_xlfn.XLOOKUP(G90,'Kraken Trades'!$A$2:$A$28,'Kraken Trades'!$D$2:$D$28,"--",0)</f>
        <v>--</v>
      </c>
      <c r="T90" t="str">
        <f>_xlfn.XLOOKUP(G90,'Kraken Trades'!$A$2:$A$28,'Kraken Trades'!$E$2:$E$28,"--",0)</f>
        <v>--</v>
      </c>
      <c r="U90" t="str">
        <f>_xlfn.XLOOKUP(G90,'Kraken Trades'!$A$2:$A$28,'Kraken Trades'!$F$2:$F$28,"--",0)</f>
        <v>--</v>
      </c>
      <c r="V90" t="str">
        <f>_xlfn.XLOOKUP(G90,'Kraken Trades'!$A$2:$A$28,'Kraken Trades'!$G$2:$G$28,"--",0)</f>
        <v>--</v>
      </c>
      <c r="W90" t="str">
        <f>_xlfn.XLOOKUP(G90,'Kraken Trades'!$A$2:$A$28,'Kraken Trades'!$H$2:$H$28,"--",0)</f>
        <v>--</v>
      </c>
      <c r="X90" t="str">
        <f>_xlfn.XLOOKUP(G90,'Kraken Trades'!$A$2:$A$28,'Kraken Trades'!$I$2:$I$28,"--",0)</f>
        <v>--</v>
      </c>
      <c r="Y90" t="str">
        <f>_xlfn.XLOOKUP(G90,'Kraken Trades'!$A$2:$A$28,'Kraken Trades'!$J$2:$J$28,"--",0)</f>
        <v>--</v>
      </c>
      <c r="Z90" t="str">
        <f>_xlfn.XLOOKUP(G90,'Kraken Trades'!$A$2:$A$28,'Kraken Trades'!$K$2:$K$28,"--",0)</f>
        <v>--</v>
      </c>
      <c r="AA90" t="str">
        <f>_xlfn.XLOOKUP(G90,'Kraken Trades'!$A$2:$A$28,'Kraken Trades'!$L$2:$L$28,"--",0)</f>
        <v>--</v>
      </c>
      <c r="AB90" t="str">
        <f>_xlfn.XLOOKUP(G90,'Kraken Trades'!$A$2:$A$28,'Kraken Trades'!$M$2:$M$28,"--",0)</f>
        <v>--</v>
      </c>
    </row>
    <row r="91" spans="1:28" x14ac:dyDescent="0.15">
      <c r="A91" s="78">
        <v>45104</v>
      </c>
      <c r="B91" t="s">
        <v>104</v>
      </c>
      <c r="C91" s="77" t="s">
        <v>61</v>
      </c>
      <c r="D91">
        <v>518294827</v>
      </c>
      <c r="E91" t="str">
        <f>_xlfn.XLOOKUP(D91,'DEST TAGs'!$A$2:$A$5,'DEST TAGs'!$B$2:$B$5,"--",0)</f>
        <v>Alex Smirnov</v>
      </c>
      <c r="F91" t="s">
        <v>213</v>
      </c>
      <c r="G91" t="s">
        <v>212</v>
      </c>
      <c r="H91" s="70">
        <v>45037.490972222222</v>
      </c>
      <c r="I91" t="s">
        <v>118</v>
      </c>
      <c r="K91" t="s">
        <v>107</v>
      </c>
      <c r="L91" t="s">
        <v>114</v>
      </c>
      <c r="M91">
        <v>-2285</v>
      </c>
      <c r="N91">
        <v>0.02</v>
      </c>
      <c r="O91">
        <v>0.72944334</v>
      </c>
      <c r="P91" t="str">
        <f>_xlfn.XLOOKUP(G91,'Kraken Trades'!$A$2:$A$28,'Kraken Trades'!$A$2:$A$28,"--",0)</f>
        <v>--</v>
      </c>
      <c r="Q91" t="str">
        <f>_xlfn.XLOOKUP(G91,'Kraken Trades'!$A$2:$A$28,'Kraken Trades'!$B$2:$B$28,"--",0)</f>
        <v>--</v>
      </c>
      <c r="R91" t="str">
        <f>_xlfn.XLOOKUP(G91,'Kraken Trades'!$A$2:$A$28,'Kraken Trades'!$C$2:$C$28,"--",0)</f>
        <v>--</v>
      </c>
      <c r="S91" t="str">
        <f>_xlfn.XLOOKUP(G91,'Kraken Trades'!$A$2:$A$28,'Kraken Trades'!$D$2:$D$28,"--",0)</f>
        <v>--</v>
      </c>
      <c r="T91" t="str">
        <f>_xlfn.XLOOKUP(G91,'Kraken Trades'!$A$2:$A$28,'Kraken Trades'!$E$2:$E$28,"--",0)</f>
        <v>--</v>
      </c>
      <c r="U91" t="str">
        <f>_xlfn.XLOOKUP(G91,'Kraken Trades'!$A$2:$A$28,'Kraken Trades'!$F$2:$F$28,"--",0)</f>
        <v>--</v>
      </c>
      <c r="V91" t="str">
        <f>_xlfn.XLOOKUP(G91,'Kraken Trades'!$A$2:$A$28,'Kraken Trades'!$G$2:$G$28,"--",0)</f>
        <v>--</v>
      </c>
      <c r="W91" t="str">
        <f>_xlfn.XLOOKUP(G91,'Kraken Trades'!$A$2:$A$28,'Kraken Trades'!$H$2:$H$28,"--",0)</f>
        <v>--</v>
      </c>
      <c r="X91" t="str">
        <f>_xlfn.XLOOKUP(G91,'Kraken Trades'!$A$2:$A$28,'Kraken Trades'!$I$2:$I$28,"--",0)</f>
        <v>--</v>
      </c>
      <c r="Y91" t="str">
        <f>_xlfn.XLOOKUP(G91,'Kraken Trades'!$A$2:$A$28,'Kraken Trades'!$J$2:$J$28,"--",0)</f>
        <v>--</v>
      </c>
      <c r="Z91" t="str">
        <f>_xlfn.XLOOKUP(G91,'Kraken Trades'!$A$2:$A$28,'Kraken Trades'!$K$2:$K$28,"--",0)</f>
        <v>--</v>
      </c>
      <c r="AA91" t="str">
        <f>_xlfn.XLOOKUP(G91,'Kraken Trades'!$A$2:$A$28,'Kraken Trades'!$L$2:$L$28,"--",0)</f>
        <v>--</v>
      </c>
      <c r="AB91" t="str">
        <f>_xlfn.XLOOKUP(G91,'Kraken Trades'!$A$2:$A$28,'Kraken Trades'!$M$2:$M$28,"--",0)</f>
        <v>--</v>
      </c>
    </row>
    <row r="92" spans="1:28" x14ac:dyDescent="0.15">
      <c r="A92" s="78">
        <v>45104</v>
      </c>
      <c r="B92" t="s">
        <v>104</v>
      </c>
      <c r="E92" t="str">
        <f>_xlfn.XLOOKUP(D92,'DEST TAGs'!$A$2:$A$5,'DEST TAGs'!$B$2:$B$5,"--",0)</f>
        <v>--</v>
      </c>
      <c r="F92" t="s">
        <v>214</v>
      </c>
      <c r="G92" t="s">
        <v>215</v>
      </c>
      <c r="H92" s="70">
        <v>45037.515277777777</v>
      </c>
      <c r="I92" t="s">
        <v>112</v>
      </c>
      <c r="K92" t="s">
        <v>107</v>
      </c>
      <c r="L92" t="s">
        <v>108</v>
      </c>
      <c r="M92">
        <v>-250.30959999999999</v>
      </c>
      <c r="N92">
        <v>0</v>
      </c>
      <c r="O92">
        <v>2493.1959999999999</v>
      </c>
      <c r="P92" t="str">
        <f>_xlfn.XLOOKUP(G92,'Kraken Trades'!$A$2:$A$28,'Kraken Trades'!$A$2:$A$28,"--",0)</f>
        <v>TV2CUE-4ALGJ-DLH5SJ</v>
      </c>
      <c r="Q92" t="str">
        <f>_xlfn.XLOOKUP(G92,'Kraken Trades'!$A$2:$A$28,'Kraken Trades'!$B$2:$B$28,"--",0)</f>
        <v>OV46XD-ZO26J-BCHG5E</v>
      </c>
      <c r="R92" t="str">
        <f>_xlfn.XLOOKUP(G92,'Kraken Trades'!$A$2:$A$28,'Kraken Trades'!$C$2:$C$28,"--",0)</f>
        <v>XRPGBP</v>
      </c>
      <c r="S92">
        <f>_xlfn.XLOOKUP(G92,'Kraken Trades'!$A$2:$A$28,'Kraken Trades'!$D$2:$D$28,"--",0)</f>
        <v>1.565625E-2</v>
      </c>
      <c r="T92" t="str">
        <f>_xlfn.XLOOKUP(G92,'Kraken Trades'!$A$2:$A$28,'Kraken Trades'!$E$2:$E$28,"--",0)</f>
        <v>buy</v>
      </c>
      <c r="U92" t="str">
        <f>_xlfn.XLOOKUP(G92,'Kraken Trades'!$A$2:$A$28,'Kraken Trades'!$F$2:$F$28,"--",0)</f>
        <v>market</v>
      </c>
      <c r="V92">
        <f>_xlfn.XLOOKUP(G92,'Kraken Trades'!$A$2:$A$28,'Kraken Trades'!$G$2:$G$28,"--",0)</f>
        <v>0.37640543999999998</v>
      </c>
      <c r="W92">
        <f>_xlfn.XLOOKUP(G92,'Kraken Trades'!$A$2:$A$28,'Kraken Trades'!$H$2:$H$28,"--",0)</f>
        <v>250.30961859999999</v>
      </c>
      <c r="X92">
        <f>_xlfn.XLOOKUP(G92,'Kraken Trades'!$A$2:$A$28,'Kraken Trades'!$I$2:$I$28,"--",0)</f>
        <v>0.65080499999999997</v>
      </c>
      <c r="Y92">
        <f>_xlfn.XLOOKUP(G92,'Kraken Trades'!$A$2:$A$28,'Kraken Trades'!$J$2:$J$28,"--",0)</f>
        <v>665</v>
      </c>
      <c r="Z92">
        <f>_xlfn.XLOOKUP(G92,'Kraken Trades'!$A$2:$A$28,'Kraken Trades'!$K$2:$K$28,"--",0)</f>
        <v>0</v>
      </c>
      <c r="AA92" t="str">
        <f>_xlfn.XLOOKUP(G92,'Kraken Trades'!$A$2:$A$28,'Kraken Trades'!$L$2:$L$28,"--",0)</f>
        <v>initiated</v>
      </c>
      <c r="AB92" t="str">
        <f>_xlfn.XLOOKUP(G92,'Kraken Trades'!$A$2:$A$28,'Kraken Trades'!$M$2:$M$28,"--",0)</f>
        <v>LLMMB3-QKWQR-UXWHAT,LH4Q2I-JSAQ4-7ME3PF,LS3LWD-WUVCK-VNJFVN</v>
      </c>
    </row>
    <row r="93" spans="1:28" x14ac:dyDescent="0.15">
      <c r="A93" s="78">
        <v>45104</v>
      </c>
      <c r="B93" t="s">
        <v>104</v>
      </c>
      <c r="E93" t="str">
        <f>_xlfn.XLOOKUP(D93,'DEST TAGs'!$A$2:$A$5,'DEST TAGs'!$B$2:$B$5,"--",0)</f>
        <v>--</v>
      </c>
      <c r="F93" t="s">
        <v>216</v>
      </c>
      <c r="G93" t="s">
        <v>215</v>
      </c>
      <c r="H93" s="70">
        <v>45037.515277777777</v>
      </c>
      <c r="I93" t="s">
        <v>112</v>
      </c>
      <c r="K93" t="s">
        <v>107</v>
      </c>
      <c r="L93" t="s">
        <v>114</v>
      </c>
      <c r="M93">
        <v>665</v>
      </c>
      <c r="N93">
        <v>0</v>
      </c>
      <c r="O93">
        <v>665.72944329999996</v>
      </c>
      <c r="P93" t="str">
        <f>_xlfn.XLOOKUP(G93,'Kraken Trades'!$A$2:$A$28,'Kraken Trades'!$A$2:$A$28,"--",0)</f>
        <v>TV2CUE-4ALGJ-DLH5SJ</v>
      </c>
      <c r="Q93" t="str">
        <f>_xlfn.XLOOKUP(G93,'Kraken Trades'!$A$2:$A$28,'Kraken Trades'!$B$2:$B$28,"--",0)</f>
        <v>OV46XD-ZO26J-BCHG5E</v>
      </c>
      <c r="R93" t="str">
        <f>_xlfn.XLOOKUP(G93,'Kraken Trades'!$A$2:$A$28,'Kraken Trades'!$C$2:$C$28,"--",0)</f>
        <v>XRPGBP</v>
      </c>
      <c r="S93">
        <f>_xlfn.XLOOKUP(G93,'Kraken Trades'!$A$2:$A$28,'Kraken Trades'!$D$2:$D$28,"--",0)</f>
        <v>1.565625E-2</v>
      </c>
      <c r="T93" t="str">
        <f>_xlfn.XLOOKUP(G93,'Kraken Trades'!$A$2:$A$28,'Kraken Trades'!$E$2:$E$28,"--",0)</f>
        <v>buy</v>
      </c>
      <c r="U93" t="str">
        <f>_xlfn.XLOOKUP(G93,'Kraken Trades'!$A$2:$A$28,'Kraken Trades'!$F$2:$F$28,"--",0)</f>
        <v>market</v>
      </c>
      <c r="V93">
        <f>_xlfn.XLOOKUP(G93,'Kraken Trades'!$A$2:$A$28,'Kraken Trades'!$G$2:$G$28,"--",0)</f>
        <v>0.37640543999999998</v>
      </c>
      <c r="W93">
        <f>_xlfn.XLOOKUP(G93,'Kraken Trades'!$A$2:$A$28,'Kraken Trades'!$H$2:$H$28,"--",0)</f>
        <v>250.30961859999999</v>
      </c>
      <c r="X93">
        <f>_xlfn.XLOOKUP(G93,'Kraken Trades'!$A$2:$A$28,'Kraken Trades'!$I$2:$I$28,"--",0)</f>
        <v>0.65080499999999997</v>
      </c>
      <c r="Y93">
        <f>_xlfn.XLOOKUP(G93,'Kraken Trades'!$A$2:$A$28,'Kraken Trades'!$J$2:$J$28,"--",0)</f>
        <v>665</v>
      </c>
      <c r="Z93">
        <f>_xlfn.XLOOKUP(G93,'Kraken Trades'!$A$2:$A$28,'Kraken Trades'!$K$2:$K$28,"--",0)</f>
        <v>0</v>
      </c>
      <c r="AA93" t="str">
        <f>_xlfn.XLOOKUP(G93,'Kraken Trades'!$A$2:$A$28,'Kraken Trades'!$L$2:$L$28,"--",0)</f>
        <v>initiated</v>
      </c>
      <c r="AB93" t="str">
        <f>_xlfn.XLOOKUP(G93,'Kraken Trades'!$A$2:$A$28,'Kraken Trades'!$M$2:$M$28,"--",0)</f>
        <v>LLMMB3-QKWQR-UXWHAT,LH4Q2I-JSAQ4-7ME3PF,LS3LWD-WUVCK-VNJFVN</v>
      </c>
    </row>
    <row r="94" spans="1:28" x14ac:dyDescent="0.15">
      <c r="A94" s="78">
        <v>45104</v>
      </c>
      <c r="B94" t="s">
        <v>104</v>
      </c>
      <c r="E94" t="str">
        <f>_xlfn.XLOOKUP(D94,'DEST TAGs'!$A$2:$A$5,'DEST TAGs'!$B$2:$B$5,"--",0)</f>
        <v>--</v>
      </c>
      <c r="F94" t="s">
        <v>217</v>
      </c>
      <c r="G94" t="s">
        <v>215</v>
      </c>
      <c r="H94" s="70">
        <v>45037.515277777777</v>
      </c>
      <c r="I94" t="s">
        <v>112</v>
      </c>
      <c r="K94" t="s">
        <v>107</v>
      </c>
      <c r="L94" t="s">
        <v>116</v>
      </c>
      <c r="M94">
        <v>0</v>
      </c>
      <c r="N94">
        <v>80.66</v>
      </c>
      <c r="O94">
        <v>5483.82</v>
      </c>
      <c r="P94" t="str">
        <f>_xlfn.XLOOKUP(G94,'Kraken Trades'!$A$2:$A$28,'Kraken Trades'!$A$2:$A$28,"--",0)</f>
        <v>TV2CUE-4ALGJ-DLH5SJ</v>
      </c>
      <c r="Q94" t="str">
        <f>_xlfn.XLOOKUP(G94,'Kraken Trades'!$A$2:$A$28,'Kraken Trades'!$B$2:$B$28,"--",0)</f>
        <v>OV46XD-ZO26J-BCHG5E</v>
      </c>
      <c r="R94" t="str">
        <f>_xlfn.XLOOKUP(G94,'Kraken Trades'!$A$2:$A$28,'Kraken Trades'!$C$2:$C$28,"--",0)</f>
        <v>XRPGBP</v>
      </c>
      <c r="S94">
        <f>_xlfn.XLOOKUP(G94,'Kraken Trades'!$A$2:$A$28,'Kraken Trades'!$D$2:$D$28,"--",0)</f>
        <v>1.565625E-2</v>
      </c>
      <c r="T94" t="str">
        <f>_xlfn.XLOOKUP(G94,'Kraken Trades'!$A$2:$A$28,'Kraken Trades'!$E$2:$E$28,"--",0)</f>
        <v>buy</v>
      </c>
      <c r="U94" t="str">
        <f>_xlfn.XLOOKUP(G94,'Kraken Trades'!$A$2:$A$28,'Kraken Trades'!$F$2:$F$28,"--",0)</f>
        <v>market</v>
      </c>
      <c r="V94">
        <f>_xlfn.XLOOKUP(G94,'Kraken Trades'!$A$2:$A$28,'Kraken Trades'!$G$2:$G$28,"--",0)</f>
        <v>0.37640543999999998</v>
      </c>
      <c r="W94">
        <f>_xlfn.XLOOKUP(G94,'Kraken Trades'!$A$2:$A$28,'Kraken Trades'!$H$2:$H$28,"--",0)</f>
        <v>250.30961859999999</v>
      </c>
      <c r="X94">
        <f>_xlfn.XLOOKUP(G94,'Kraken Trades'!$A$2:$A$28,'Kraken Trades'!$I$2:$I$28,"--",0)</f>
        <v>0.65080499999999997</v>
      </c>
      <c r="Y94">
        <f>_xlfn.XLOOKUP(G94,'Kraken Trades'!$A$2:$A$28,'Kraken Trades'!$J$2:$J$28,"--",0)</f>
        <v>665</v>
      </c>
      <c r="Z94">
        <f>_xlfn.XLOOKUP(G94,'Kraken Trades'!$A$2:$A$28,'Kraken Trades'!$K$2:$K$28,"--",0)</f>
        <v>0</v>
      </c>
      <c r="AA94" t="str">
        <f>_xlfn.XLOOKUP(G94,'Kraken Trades'!$A$2:$A$28,'Kraken Trades'!$L$2:$L$28,"--",0)</f>
        <v>initiated</v>
      </c>
      <c r="AB94" t="str">
        <f>_xlfn.XLOOKUP(G94,'Kraken Trades'!$A$2:$A$28,'Kraken Trades'!$M$2:$M$28,"--",0)</f>
        <v>LLMMB3-QKWQR-UXWHAT,LH4Q2I-JSAQ4-7ME3PF,LS3LWD-WUVCK-VNJFVN</v>
      </c>
    </row>
    <row r="95" spans="1:28" x14ac:dyDescent="0.15">
      <c r="A95" s="78">
        <v>45104</v>
      </c>
      <c r="B95" t="s">
        <v>104</v>
      </c>
      <c r="E95" t="str">
        <f>_xlfn.XLOOKUP(D95,'DEST TAGs'!$A$2:$A$5,'DEST TAGs'!$B$2:$B$5,"--",0)</f>
        <v>--</v>
      </c>
      <c r="G95" t="s">
        <v>218</v>
      </c>
      <c r="H95" s="70">
        <v>45037.515972222223</v>
      </c>
      <c r="I95" t="s">
        <v>118</v>
      </c>
      <c r="K95" t="s">
        <v>107</v>
      </c>
      <c r="L95" t="s">
        <v>114</v>
      </c>
      <c r="M95">
        <v>-665</v>
      </c>
      <c r="N95">
        <v>0.02</v>
      </c>
      <c r="P95" t="str">
        <f>_xlfn.XLOOKUP(G95,'Kraken Trades'!$A$2:$A$28,'Kraken Trades'!$A$2:$A$28,"--",0)</f>
        <v>--</v>
      </c>
      <c r="Q95" t="str">
        <f>_xlfn.XLOOKUP(G95,'Kraken Trades'!$A$2:$A$28,'Kraken Trades'!$B$2:$B$28,"--",0)</f>
        <v>--</v>
      </c>
      <c r="R95" t="str">
        <f>_xlfn.XLOOKUP(G95,'Kraken Trades'!$A$2:$A$28,'Kraken Trades'!$C$2:$C$28,"--",0)</f>
        <v>--</v>
      </c>
      <c r="S95" t="str">
        <f>_xlfn.XLOOKUP(G95,'Kraken Trades'!$A$2:$A$28,'Kraken Trades'!$D$2:$D$28,"--",0)</f>
        <v>--</v>
      </c>
      <c r="T95" t="str">
        <f>_xlfn.XLOOKUP(G95,'Kraken Trades'!$A$2:$A$28,'Kraken Trades'!$E$2:$E$28,"--",0)</f>
        <v>--</v>
      </c>
      <c r="U95" t="str">
        <f>_xlfn.XLOOKUP(G95,'Kraken Trades'!$A$2:$A$28,'Kraken Trades'!$F$2:$F$28,"--",0)</f>
        <v>--</v>
      </c>
      <c r="V95" t="str">
        <f>_xlfn.XLOOKUP(G95,'Kraken Trades'!$A$2:$A$28,'Kraken Trades'!$G$2:$G$28,"--",0)</f>
        <v>--</v>
      </c>
      <c r="W95" t="str">
        <f>_xlfn.XLOOKUP(G95,'Kraken Trades'!$A$2:$A$28,'Kraken Trades'!$H$2:$H$28,"--",0)</f>
        <v>--</v>
      </c>
      <c r="X95" t="str">
        <f>_xlfn.XLOOKUP(G95,'Kraken Trades'!$A$2:$A$28,'Kraken Trades'!$I$2:$I$28,"--",0)</f>
        <v>--</v>
      </c>
      <c r="Y95" t="str">
        <f>_xlfn.XLOOKUP(G95,'Kraken Trades'!$A$2:$A$28,'Kraken Trades'!$J$2:$J$28,"--",0)</f>
        <v>--</v>
      </c>
      <c r="Z95" t="str">
        <f>_xlfn.XLOOKUP(G95,'Kraken Trades'!$A$2:$A$28,'Kraken Trades'!$K$2:$K$28,"--",0)</f>
        <v>--</v>
      </c>
      <c r="AA95" t="str">
        <f>_xlfn.XLOOKUP(G95,'Kraken Trades'!$A$2:$A$28,'Kraken Trades'!$L$2:$L$28,"--",0)</f>
        <v>--</v>
      </c>
      <c r="AB95" t="str">
        <f>_xlfn.XLOOKUP(G95,'Kraken Trades'!$A$2:$A$28,'Kraken Trades'!$M$2:$M$28,"--",0)</f>
        <v>--</v>
      </c>
    </row>
    <row r="96" spans="1:28" x14ac:dyDescent="0.15">
      <c r="A96" s="78">
        <v>45104</v>
      </c>
      <c r="B96" t="s">
        <v>104</v>
      </c>
      <c r="C96" s="77" t="s">
        <v>62</v>
      </c>
      <c r="D96">
        <v>442734179</v>
      </c>
      <c r="E96" t="str">
        <f>_xlfn.XLOOKUP(D96,'DEST TAGs'!$A$2:$A$5,'DEST TAGs'!$B$2:$B$5,"--",0)</f>
        <v>Evgeniy Ulyukin</v>
      </c>
      <c r="F96" t="s">
        <v>219</v>
      </c>
      <c r="G96" t="s">
        <v>218</v>
      </c>
      <c r="H96" s="70">
        <v>45037.51666666667</v>
      </c>
      <c r="I96" t="s">
        <v>118</v>
      </c>
      <c r="K96" t="s">
        <v>107</v>
      </c>
      <c r="L96" t="s">
        <v>114</v>
      </c>
      <c r="M96">
        <v>-665</v>
      </c>
      <c r="N96">
        <v>0.02</v>
      </c>
      <c r="O96">
        <v>0.70944333999999998</v>
      </c>
      <c r="P96" t="str">
        <f>_xlfn.XLOOKUP(G96,'Kraken Trades'!$A$2:$A$28,'Kraken Trades'!$A$2:$A$28,"--",0)</f>
        <v>--</v>
      </c>
      <c r="Q96" t="str">
        <f>_xlfn.XLOOKUP(G96,'Kraken Trades'!$A$2:$A$28,'Kraken Trades'!$B$2:$B$28,"--",0)</f>
        <v>--</v>
      </c>
      <c r="R96" t="str">
        <f>_xlfn.XLOOKUP(G96,'Kraken Trades'!$A$2:$A$28,'Kraken Trades'!$C$2:$C$28,"--",0)</f>
        <v>--</v>
      </c>
      <c r="S96" t="str">
        <f>_xlfn.XLOOKUP(G96,'Kraken Trades'!$A$2:$A$28,'Kraken Trades'!$D$2:$D$28,"--",0)</f>
        <v>--</v>
      </c>
      <c r="T96" t="str">
        <f>_xlfn.XLOOKUP(G96,'Kraken Trades'!$A$2:$A$28,'Kraken Trades'!$E$2:$E$28,"--",0)</f>
        <v>--</v>
      </c>
      <c r="U96" t="str">
        <f>_xlfn.XLOOKUP(G96,'Kraken Trades'!$A$2:$A$28,'Kraken Trades'!$F$2:$F$28,"--",0)</f>
        <v>--</v>
      </c>
      <c r="V96" t="str">
        <f>_xlfn.XLOOKUP(G96,'Kraken Trades'!$A$2:$A$28,'Kraken Trades'!$G$2:$G$28,"--",0)</f>
        <v>--</v>
      </c>
      <c r="W96" t="str">
        <f>_xlfn.XLOOKUP(G96,'Kraken Trades'!$A$2:$A$28,'Kraken Trades'!$H$2:$H$28,"--",0)</f>
        <v>--</v>
      </c>
      <c r="X96" t="str">
        <f>_xlfn.XLOOKUP(G96,'Kraken Trades'!$A$2:$A$28,'Kraken Trades'!$I$2:$I$28,"--",0)</f>
        <v>--</v>
      </c>
      <c r="Y96" t="str">
        <f>_xlfn.XLOOKUP(G96,'Kraken Trades'!$A$2:$A$28,'Kraken Trades'!$J$2:$J$28,"--",0)</f>
        <v>--</v>
      </c>
      <c r="Z96" t="str">
        <f>_xlfn.XLOOKUP(G96,'Kraken Trades'!$A$2:$A$28,'Kraken Trades'!$K$2:$K$28,"--",0)</f>
        <v>--</v>
      </c>
      <c r="AA96" t="str">
        <f>_xlfn.XLOOKUP(G96,'Kraken Trades'!$A$2:$A$28,'Kraken Trades'!$L$2:$L$28,"--",0)</f>
        <v>--</v>
      </c>
      <c r="AB96" t="str">
        <f>_xlfn.XLOOKUP(G96,'Kraken Trades'!$A$2:$A$28,'Kraken Trades'!$M$2:$M$28,"--",0)</f>
        <v>--</v>
      </c>
    </row>
    <row r="97" spans="1:28" x14ac:dyDescent="0.15">
      <c r="A97" s="78">
        <v>45104</v>
      </c>
      <c r="B97" t="s">
        <v>104</v>
      </c>
      <c r="E97" t="str">
        <f>_xlfn.XLOOKUP(D97,'DEST TAGs'!$A$2:$A$5,'DEST TAGs'!$B$2:$B$5,"--",0)</f>
        <v>--</v>
      </c>
      <c r="G97" t="s">
        <v>220</v>
      </c>
      <c r="H97" s="70">
        <v>45037.697916666664</v>
      </c>
      <c r="I97" t="s">
        <v>106</v>
      </c>
      <c r="K97" t="s">
        <v>107</v>
      </c>
      <c r="L97" t="s">
        <v>108</v>
      </c>
      <c r="M97">
        <v>2000</v>
      </c>
      <c r="N97">
        <v>0</v>
      </c>
      <c r="P97" t="str">
        <f>_xlfn.XLOOKUP(G97,'Kraken Trades'!$A$2:$A$28,'Kraken Trades'!$A$2:$A$28,"--",0)</f>
        <v>--</v>
      </c>
      <c r="Q97" t="str">
        <f>_xlfn.XLOOKUP(G97,'Kraken Trades'!$A$2:$A$28,'Kraken Trades'!$B$2:$B$28,"--",0)</f>
        <v>--</v>
      </c>
      <c r="R97" t="str">
        <f>_xlfn.XLOOKUP(G97,'Kraken Trades'!$A$2:$A$28,'Kraken Trades'!$C$2:$C$28,"--",0)</f>
        <v>--</v>
      </c>
      <c r="S97" t="str">
        <f>_xlfn.XLOOKUP(G97,'Kraken Trades'!$A$2:$A$28,'Kraken Trades'!$D$2:$D$28,"--",0)</f>
        <v>--</v>
      </c>
      <c r="T97" t="str">
        <f>_xlfn.XLOOKUP(G97,'Kraken Trades'!$A$2:$A$28,'Kraken Trades'!$E$2:$E$28,"--",0)</f>
        <v>--</v>
      </c>
      <c r="U97" t="str">
        <f>_xlfn.XLOOKUP(G97,'Kraken Trades'!$A$2:$A$28,'Kraken Trades'!$F$2:$F$28,"--",0)</f>
        <v>--</v>
      </c>
      <c r="V97" t="str">
        <f>_xlfn.XLOOKUP(G97,'Kraken Trades'!$A$2:$A$28,'Kraken Trades'!$G$2:$G$28,"--",0)</f>
        <v>--</v>
      </c>
      <c r="W97" t="str">
        <f>_xlfn.XLOOKUP(G97,'Kraken Trades'!$A$2:$A$28,'Kraken Trades'!$H$2:$H$28,"--",0)</f>
        <v>--</v>
      </c>
      <c r="X97" t="str">
        <f>_xlfn.XLOOKUP(G97,'Kraken Trades'!$A$2:$A$28,'Kraken Trades'!$I$2:$I$28,"--",0)</f>
        <v>--</v>
      </c>
      <c r="Y97" t="str">
        <f>_xlfn.XLOOKUP(G97,'Kraken Trades'!$A$2:$A$28,'Kraken Trades'!$J$2:$J$28,"--",0)</f>
        <v>--</v>
      </c>
      <c r="Z97" t="str">
        <f>_xlfn.XLOOKUP(G97,'Kraken Trades'!$A$2:$A$28,'Kraken Trades'!$K$2:$K$28,"--",0)</f>
        <v>--</v>
      </c>
      <c r="AA97" t="str">
        <f>_xlfn.XLOOKUP(G97,'Kraken Trades'!$A$2:$A$28,'Kraken Trades'!$L$2:$L$28,"--",0)</f>
        <v>--</v>
      </c>
      <c r="AB97" t="str">
        <f>_xlfn.XLOOKUP(G97,'Kraken Trades'!$A$2:$A$28,'Kraken Trades'!$M$2:$M$28,"--",0)</f>
        <v>--</v>
      </c>
    </row>
    <row r="98" spans="1:28" x14ac:dyDescent="0.15">
      <c r="A98" s="78">
        <v>45104</v>
      </c>
      <c r="B98" t="s">
        <v>104</v>
      </c>
      <c r="E98" t="str">
        <f>_xlfn.XLOOKUP(D98,'DEST TAGs'!$A$2:$A$5,'DEST TAGs'!$B$2:$B$5,"--",0)</f>
        <v>--</v>
      </c>
      <c r="F98" t="s">
        <v>221</v>
      </c>
      <c r="G98" t="s">
        <v>220</v>
      </c>
      <c r="H98" s="70">
        <v>45037.708333333336</v>
      </c>
      <c r="I98" t="s">
        <v>106</v>
      </c>
      <c r="K98" t="s">
        <v>107</v>
      </c>
      <c r="L98" t="s">
        <v>108</v>
      </c>
      <c r="M98">
        <v>2000</v>
      </c>
      <c r="N98">
        <v>0</v>
      </c>
      <c r="O98">
        <v>4493.1959999999999</v>
      </c>
      <c r="P98" t="str">
        <f>_xlfn.XLOOKUP(G98,'Kraken Trades'!$A$2:$A$28,'Kraken Trades'!$A$2:$A$28,"--",0)</f>
        <v>--</v>
      </c>
      <c r="Q98" t="str">
        <f>_xlfn.XLOOKUP(G98,'Kraken Trades'!$A$2:$A$28,'Kraken Trades'!$B$2:$B$28,"--",0)</f>
        <v>--</v>
      </c>
      <c r="R98" t="str">
        <f>_xlfn.XLOOKUP(G98,'Kraken Trades'!$A$2:$A$28,'Kraken Trades'!$C$2:$C$28,"--",0)</f>
        <v>--</v>
      </c>
      <c r="S98" t="str">
        <f>_xlfn.XLOOKUP(G98,'Kraken Trades'!$A$2:$A$28,'Kraken Trades'!$D$2:$D$28,"--",0)</f>
        <v>--</v>
      </c>
      <c r="T98" t="str">
        <f>_xlfn.XLOOKUP(G98,'Kraken Trades'!$A$2:$A$28,'Kraken Trades'!$E$2:$E$28,"--",0)</f>
        <v>--</v>
      </c>
      <c r="U98" t="str">
        <f>_xlfn.XLOOKUP(G98,'Kraken Trades'!$A$2:$A$28,'Kraken Trades'!$F$2:$F$28,"--",0)</f>
        <v>--</v>
      </c>
      <c r="V98" t="str">
        <f>_xlfn.XLOOKUP(G98,'Kraken Trades'!$A$2:$A$28,'Kraken Trades'!$G$2:$G$28,"--",0)</f>
        <v>--</v>
      </c>
      <c r="W98" t="str">
        <f>_xlfn.XLOOKUP(G98,'Kraken Trades'!$A$2:$A$28,'Kraken Trades'!$H$2:$H$28,"--",0)</f>
        <v>--</v>
      </c>
      <c r="X98" t="str">
        <f>_xlfn.XLOOKUP(G98,'Kraken Trades'!$A$2:$A$28,'Kraken Trades'!$I$2:$I$28,"--",0)</f>
        <v>--</v>
      </c>
      <c r="Y98" t="str">
        <f>_xlfn.XLOOKUP(G98,'Kraken Trades'!$A$2:$A$28,'Kraken Trades'!$J$2:$J$28,"--",0)</f>
        <v>--</v>
      </c>
      <c r="Z98" t="str">
        <f>_xlfn.XLOOKUP(G98,'Kraken Trades'!$A$2:$A$28,'Kraken Trades'!$K$2:$K$28,"--",0)</f>
        <v>--</v>
      </c>
      <c r="AA98" t="str">
        <f>_xlfn.XLOOKUP(G98,'Kraken Trades'!$A$2:$A$28,'Kraken Trades'!$L$2:$L$28,"--",0)</f>
        <v>--</v>
      </c>
      <c r="AB98" t="str">
        <f>_xlfn.XLOOKUP(G98,'Kraken Trades'!$A$2:$A$28,'Kraken Trades'!$M$2:$M$28,"--",0)</f>
        <v>--</v>
      </c>
    </row>
    <row r="99" spans="1:28" x14ac:dyDescent="0.15">
      <c r="A99" s="78">
        <v>45104</v>
      </c>
      <c r="B99" t="s">
        <v>104</v>
      </c>
      <c r="E99" t="str">
        <f>_xlfn.XLOOKUP(D99,'DEST TAGs'!$A$2:$A$5,'DEST TAGs'!$B$2:$B$5,"--",0)</f>
        <v>--</v>
      </c>
      <c r="F99" t="s">
        <v>222</v>
      </c>
      <c r="G99" t="s">
        <v>223</v>
      </c>
      <c r="H99" s="70">
        <v>45038.352777777778</v>
      </c>
      <c r="I99" t="s">
        <v>112</v>
      </c>
      <c r="K99" t="s">
        <v>107</v>
      </c>
      <c r="L99" t="s">
        <v>108</v>
      </c>
      <c r="M99">
        <v>-2764.0466999999999</v>
      </c>
      <c r="N99">
        <v>0</v>
      </c>
      <c r="O99">
        <v>1729.1493</v>
      </c>
      <c r="P99" t="str">
        <f>_xlfn.XLOOKUP(G99,'Kraken Trades'!$A$2:$A$28,'Kraken Trades'!$A$2:$A$28,"--",0)</f>
        <v>T63DO7-M3A2C-PSS3NQ</v>
      </c>
      <c r="Q99" t="str">
        <f>_xlfn.XLOOKUP(G99,'Kraken Trades'!$A$2:$A$28,'Kraken Trades'!$B$2:$B$28,"--",0)</f>
        <v>O6ZBZU-C2XIF-MQOVIG</v>
      </c>
      <c r="R99" t="str">
        <f>_xlfn.XLOOKUP(G99,'Kraken Trades'!$A$2:$A$28,'Kraken Trades'!$C$2:$C$28,"--",0)</f>
        <v>XRPGBP</v>
      </c>
      <c r="S99">
        <f>_xlfn.XLOOKUP(G99,'Kraken Trades'!$A$2:$A$28,'Kraken Trades'!$D$2:$D$28,"--",0)</f>
        <v>1.9630787037037037E-2</v>
      </c>
      <c r="T99" t="str">
        <f>_xlfn.XLOOKUP(G99,'Kraken Trades'!$A$2:$A$28,'Kraken Trades'!$E$2:$E$28,"--",0)</f>
        <v>buy</v>
      </c>
      <c r="U99" t="str">
        <f>_xlfn.XLOOKUP(G99,'Kraken Trades'!$A$2:$A$28,'Kraken Trades'!$F$2:$F$28,"--",0)</f>
        <v>market</v>
      </c>
      <c r="V99">
        <f>_xlfn.XLOOKUP(G99,'Kraken Trades'!$A$2:$A$28,'Kraken Trades'!$G$2:$G$28,"--",0)</f>
        <v>0.36369036999999999</v>
      </c>
      <c r="W99">
        <f>_xlfn.XLOOKUP(G99,'Kraken Trades'!$A$2:$A$28,'Kraken Trades'!$H$2:$H$28,"--",0)</f>
        <v>2764.0467979999999</v>
      </c>
      <c r="X99">
        <f>_xlfn.XLOOKUP(G99,'Kraken Trades'!$A$2:$A$28,'Kraken Trades'!$I$2:$I$28,"--",0)</f>
        <v>7.1865216700000003</v>
      </c>
      <c r="Y99">
        <f>_xlfn.XLOOKUP(G99,'Kraken Trades'!$A$2:$A$28,'Kraken Trades'!$J$2:$J$28,"--",0)</f>
        <v>7600</v>
      </c>
      <c r="Z99">
        <f>_xlfn.XLOOKUP(G99,'Kraken Trades'!$A$2:$A$28,'Kraken Trades'!$K$2:$K$28,"--",0)</f>
        <v>0</v>
      </c>
      <c r="AA99" t="str">
        <f>_xlfn.XLOOKUP(G99,'Kraken Trades'!$A$2:$A$28,'Kraken Trades'!$L$2:$L$28,"--",0)</f>
        <v>initiated</v>
      </c>
      <c r="AB99" t="str">
        <f>_xlfn.XLOOKUP(G99,'Kraken Trades'!$A$2:$A$28,'Kraken Trades'!$M$2:$M$28,"--",0)</f>
        <v>L6AGHL-WO5W6-S3TVAM,LB4MAJ-LLAHT-NJFAVY,LMRL7X-JMOJX-OKACJ4</v>
      </c>
    </row>
    <row r="100" spans="1:28" x14ac:dyDescent="0.15">
      <c r="A100" s="78">
        <v>45104</v>
      </c>
      <c r="B100" t="s">
        <v>104</v>
      </c>
      <c r="E100" t="str">
        <f>_xlfn.XLOOKUP(D100,'DEST TAGs'!$A$2:$A$5,'DEST TAGs'!$B$2:$B$5,"--",0)</f>
        <v>--</v>
      </c>
      <c r="F100" t="s">
        <v>224</v>
      </c>
      <c r="G100" t="s">
        <v>223</v>
      </c>
      <c r="H100" s="70">
        <v>45038.352777777778</v>
      </c>
      <c r="I100" t="s">
        <v>112</v>
      </c>
      <c r="K100" t="s">
        <v>107</v>
      </c>
      <c r="L100" t="s">
        <v>114</v>
      </c>
      <c r="M100">
        <v>7600</v>
      </c>
      <c r="N100">
        <v>0</v>
      </c>
      <c r="O100">
        <v>7600.7094429999997</v>
      </c>
      <c r="P100" t="str">
        <f>_xlfn.XLOOKUP(G100,'Kraken Trades'!$A$2:$A$28,'Kraken Trades'!$A$2:$A$28,"--",0)</f>
        <v>T63DO7-M3A2C-PSS3NQ</v>
      </c>
      <c r="Q100" t="str">
        <f>_xlfn.XLOOKUP(G100,'Kraken Trades'!$A$2:$A$28,'Kraken Trades'!$B$2:$B$28,"--",0)</f>
        <v>O6ZBZU-C2XIF-MQOVIG</v>
      </c>
      <c r="R100" t="str">
        <f>_xlfn.XLOOKUP(G100,'Kraken Trades'!$A$2:$A$28,'Kraken Trades'!$C$2:$C$28,"--",0)</f>
        <v>XRPGBP</v>
      </c>
      <c r="S100">
        <f>_xlfn.XLOOKUP(G100,'Kraken Trades'!$A$2:$A$28,'Kraken Trades'!$D$2:$D$28,"--",0)</f>
        <v>1.9630787037037037E-2</v>
      </c>
      <c r="T100" t="str">
        <f>_xlfn.XLOOKUP(G100,'Kraken Trades'!$A$2:$A$28,'Kraken Trades'!$E$2:$E$28,"--",0)</f>
        <v>buy</v>
      </c>
      <c r="U100" t="str">
        <f>_xlfn.XLOOKUP(G100,'Kraken Trades'!$A$2:$A$28,'Kraken Trades'!$F$2:$F$28,"--",0)</f>
        <v>market</v>
      </c>
      <c r="V100">
        <f>_xlfn.XLOOKUP(G100,'Kraken Trades'!$A$2:$A$28,'Kraken Trades'!$G$2:$G$28,"--",0)</f>
        <v>0.36369036999999999</v>
      </c>
      <c r="W100">
        <f>_xlfn.XLOOKUP(G100,'Kraken Trades'!$A$2:$A$28,'Kraken Trades'!$H$2:$H$28,"--",0)</f>
        <v>2764.0467979999999</v>
      </c>
      <c r="X100">
        <f>_xlfn.XLOOKUP(G100,'Kraken Trades'!$A$2:$A$28,'Kraken Trades'!$I$2:$I$28,"--",0)</f>
        <v>7.1865216700000003</v>
      </c>
      <c r="Y100">
        <f>_xlfn.XLOOKUP(G100,'Kraken Trades'!$A$2:$A$28,'Kraken Trades'!$J$2:$J$28,"--",0)</f>
        <v>7600</v>
      </c>
      <c r="Z100">
        <f>_xlfn.XLOOKUP(G100,'Kraken Trades'!$A$2:$A$28,'Kraken Trades'!$K$2:$K$28,"--",0)</f>
        <v>0</v>
      </c>
      <c r="AA100" t="str">
        <f>_xlfn.XLOOKUP(G100,'Kraken Trades'!$A$2:$A$28,'Kraken Trades'!$L$2:$L$28,"--",0)</f>
        <v>initiated</v>
      </c>
      <c r="AB100" t="str">
        <f>_xlfn.XLOOKUP(G100,'Kraken Trades'!$A$2:$A$28,'Kraken Trades'!$M$2:$M$28,"--",0)</f>
        <v>L6AGHL-WO5W6-S3TVAM,LB4MAJ-LLAHT-NJFAVY,LMRL7X-JMOJX-OKACJ4</v>
      </c>
    </row>
    <row r="101" spans="1:28" x14ac:dyDescent="0.15">
      <c r="A101" s="78">
        <v>45104</v>
      </c>
      <c r="B101" t="s">
        <v>104</v>
      </c>
      <c r="E101" t="str">
        <f>_xlfn.XLOOKUP(D101,'DEST TAGs'!$A$2:$A$5,'DEST TAGs'!$B$2:$B$5,"--",0)</f>
        <v>--</v>
      </c>
      <c r="F101" t="s">
        <v>225</v>
      </c>
      <c r="G101" t="s">
        <v>223</v>
      </c>
      <c r="H101" s="70">
        <v>45038.352777777778</v>
      </c>
      <c r="I101" t="s">
        <v>112</v>
      </c>
      <c r="K101" t="s">
        <v>107</v>
      </c>
      <c r="L101" t="s">
        <v>116</v>
      </c>
      <c r="M101">
        <v>0</v>
      </c>
      <c r="N101">
        <v>894.18</v>
      </c>
      <c r="O101">
        <v>4589.6400000000003</v>
      </c>
      <c r="P101" t="str">
        <f>_xlfn.XLOOKUP(G101,'Kraken Trades'!$A$2:$A$28,'Kraken Trades'!$A$2:$A$28,"--",0)</f>
        <v>T63DO7-M3A2C-PSS3NQ</v>
      </c>
      <c r="Q101" t="str">
        <f>_xlfn.XLOOKUP(G101,'Kraken Trades'!$A$2:$A$28,'Kraken Trades'!$B$2:$B$28,"--",0)</f>
        <v>O6ZBZU-C2XIF-MQOVIG</v>
      </c>
      <c r="R101" t="str">
        <f>_xlfn.XLOOKUP(G101,'Kraken Trades'!$A$2:$A$28,'Kraken Trades'!$C$2:$C$28,"--",0)</f>
        <v>XRPGBP</v>
      </c>
      <c r="S101">
        <f>_xlfn.XLOOKUP(G101,'Kraken Trades'!$A$2:$A$28,'Kraken Trades'!$D$2:$D$28,"--",0)</f>
        <v>1.9630787037037037E-2</v>
      </c>
      <c r="T101" t="str">
        <f>_xlfn.XLOOKUP(G101,'Kraken Trades'!$A$2:$A$28,'Kraken Trades'!$E$2:$E$28,"--",0)</f>
        <v>buy</v>
      </c>
      <c r="U101" t="str">
        <f>_xlfn.XLOOKUP(G101,'Kraken Trades'!$A$2:$A$28,'Kraken Trades'!$F$2:$F$28,"--",0)</f>
        <v>market</v>
      </c>
      <c r="V101">
        <f>_xlfn.XLOOKUP(G101,'Kraken Trades'!$A$2:$A$28,'Kraken Trades'!$G$2:$G$28,"--",0)</f>
        <v>0.36369036999999999</v>
      </c>
      <c r="W101">
        <f>_xlfn.XLOOKUP(G101,'Kraken Trades'!$A$2:$A$28,'Kraken Trades'!$H$2:$H$28,"--",0)</f>
        <v>2764.0467979999999</v>
      </c>
      <c r="X101">
        <f>_xlfn.XLOOKUP(G101,'Kraken Trades'!$A$2:$A$28,'Kraken Trades'!$I$2:$I$28,"--",0)</f>
        <v>7.1865216700000003</v>
      </c>
      <c r="Y101">
        <f>_xlfn.XLOOKUP(G101,'Kraken Trades'!$A$2:$A$28,'Kraken Trades'!$J$2:$J$28,"--",0)</f>
        <v>7600</v>
      </c>
      <c r="Z101">
        <f>_xlfn.XLOOKUP(G101,'Kraken Trades'!$A$2:$A$28,'Kraken Trades'!$K$2:$K$28,"--",0)</f>
        <v>0</v>
      </c>
      <c r="AA101" t="str">
        <f>_xlfn.XLOOKUP(G101,'Kraken Trades'!$A$2:$A$28,'Kraken Trades'!$L$2:$L$28,"--",0)</f>
        <v>initiated</v>
      </c>
      <c r="AB101" t="str">
        <f>_xlfn.XLOOKUP(G101,'Kraken Trades'!$A$2:$A$28,'Kraken Trades'!$M$2:$M$28,"--",0)</f>
        <v>L6AGHL-WO5W6-S3TVAM,LB4MAJ-LLAHT-NJFAVY,LMRL7X-JMOJX-OKACJ4</v>
      </c>
    </row>
    <row r="102" spans="1:28" x14ac:dyDescent="0.15">
      <c r="A102" s="78">
        <v>45104</v>
      </c>
      <c r="B102" t="s">
        <v>104</v>
      </c>
      <c r="E102" t="str">
        <f>_xlfn.XLOOKUP(D102,'DEST TAGs'!$A$2:$A$5,'DEST TAGs'!$B$2:$B$5,"--",0)</f>
        <v>--</v>
      </c>
      <c r="G102" t="s">
        <v>226</v>
      </c>
      <c r="H102" s="70">
        <v>45038.353472222225</v>
      </c>
      <c r="I102" t="s">
        <v>118</v>
      </c>
      <c r="K102" t="s">
        <v>107</v>
      </c>
      <c r="L102" t="s">
        <v>114</v>
      </c>
      <c r="M102">
        <v>-7600</v>
      </c>
      <c r="N102">
        <v>0.02</v>
      </c>
      <c r="P102" t="str">
        <f>_xlfn.XLOOKUP(G102,'Kraken Trades'!$A$2:$A$28,'Kraken Trades'!$A$2:$A$28,"--",0)</f>
        <v>--</v>
      </c>
      <c r="Q102" t="str">
        <f>_xlfn.XLOOKUP(G102,'Kraken Trades'!$A$2:$A$28,'Kraken Trades'!$B$2:$B$28,"--",0)</f>
        <v>--</v>
      </c>
      <c r="R102" t="str">
        <f>_xlfn.XLOOKUP(G102,'Kraken Trades'!$A$2:$A$28,'Kraken Trades'!$C$2:$C$28,"--",0)</f>
        <v>--</v>
      </c>
      <c r="S102" t="str">
        <f>_xlfn.XLOOKUP(G102,'Kraken Trades'!$A$2:$A$28,'Kraken Trades'!$D$2:$D$28,"--",0)</f>
        <v>--</v>
      </c>
      <c r="T102" t="str">
        <f>_xlfn.XLOOKUP(G102,'Kraken Trades'!$A$2:$A$28,'Kraken Trades'!$E$2:$E$28,"--",0)</f>
        <v>--</v>
      </c>
      <c r="U102" t="str">
        <f>_xlfn.XLOOKUP(G102,'Kraken Trades'!$A$2:$A$28,'Kraken Trades'!$F$2:$F$28,"--",0)</f>
        <v>--</v>
      </c>
      <c r="V102" t="str">
        <f>_xlfn.XLOOKUP(G102,'Kraken Trades'!$A$2:$A$28,'Kraken Trades'!$G$2:$G$28,"--",0)</f>
        <v>--</v>
      </c>
      <c r="W102" t="str">
        <f>_xlfn.XLOOKUP(G102,'Kraken Trades'!$A$2:$A$28,'Kraken Trades'!$H$2:$H$28,"--",0)</f>
        <v>--</v>
      </c>
      <c r="X102" t="str">
        <f>_xlfn.XLOOKUP(G102,'Kraken Trades'!$A$2:$A$28,'Kraken Trades'!$I$2:$I$28,"--",0)</f>
        <v>--</v>
      </c>
      <c r="Y102" t="str">
        <f>_xlfn.XLOOKUP(G102,'Kraken Trades'!$A$2:$A$28,'Kraken Trades'!$J$2:$J$28,"--",0)</f>
        <v>--</v>
      </c>
      <c r="Z102" t="str">
        <f>_xlfn.XLOOKUP(G102,'Kraken Trades'!$A$2:$A$28,'Kraken Trades'!$K$2:$K$28,"--",0)</f>
        <v>--</v>
      </c>
      <c r="AA102" t="str">
        <f>_xlfn.XLOOKUP(G102,'Kraken Trades'!$A$2:$A$28,'Kraken Trades'!$L$2:$L$28,"--",0)</f>
        <v>--</v>
      </c>
      <c r="AB102" t="str">
        <f>_xlfn.XLOOKUP(G102,'Kraken Trades'!$A$2:$A$28,'Kraken Trades'!$M$2:$M$28,"--",0)</f>
        <v>--</v>
      </c>
    </row>
    <row r="103" spans="1:28" x14ac:dyDescent="0.15">
      <c r="A103" s="78">
        <v>45104</v>
      </c>
      <c r="B103" t="s">
        <v>104</v>
      </c>
      <c r="C103" s="77" t="s">
        <v>63</v>
      </c>
      <c r="D103">
        <v>547786843</v>
      </c>
      <c r="E103" t="str">
        <f>_xlfn.XLOOKUP(D103,'DEST TAGs'!$A$2:$A$5,'DEST TAGs'!$B$2:$B$5,"--",0)</f>
        <v>Aleksey Trofimov</v>
      </c>
      <c r="F103" t="s">
        <v>227</v>
      </c>
      <c r="G103" t="s">
        <v>226</v>
      </c>
      <c r="H103" s="70">
        <v>45038.354861111111</v>
      </c>
      <c r="I103" t="s">
        <v>118</v>
      </c>
      <c r="K103" t="s">
        <v>107</v>
      </c>
      <c r="L103" t="s">
        <v>114</v>
      </c>
      <c r="M103">
        <v>-7600</v>
      </c>
      <c r="N103">
        <v>0.02</v>
      </c>
      <c r="O103">
        <v>0.68944333999999996</v>
      </c>
      <c r="P103" t="str">
        <f>_xlfn.XLOOKUP(G103,'Kraken Trades'!$A$2:$A$28,'Kraken Trades'!$A$2:$A$28,"--",0)</f>
        <v>--</v>
      </c>
      <c r="Q103" t="str">
        <f>_xlfn.XLOOKUP(G103,'Kraken Trades'!$A$2:$A$28,'Kraken Trades'!$B$2:$B$28,"--",0)</f>
        <v>--</v>
      </c>
      <c r="R103" t="str">
        <f>_xlfn.XLOOKUP(G103,'Kraken Trades'!$A$2:$A$28,'Kraken Trades'!$C$2:$C$28,"--",0)</f>
        <v>--</v>
      </c>
      <c r="S103" t="str">
        <f>_xlfn.XLOOKUP(G103,'Kraken Trades'!$A$2:$A$28,'Kraken Trades'!$D$2:$D$28,"--",0)</f>
        <v>--</v>
      </c>
      <c r="T103" t="str">
        <f>_xlfn.XLOOKUP(G103,'Kraken Trades'!$A$2:$A$28,'Kraken Trades'!$E$2:$E$28,"--",0)</f>
        <v>--</v>
      </c>
      <c r="U103" t="str">
        <f>_xlfn.XLOOKUP(G103,'Kraken Trades'!$A$2:$A$28,'Kraken Trades'!$F$2:$F$28,"--",0)</f>
        <v>--</v>
      </c>
      <c r="V103" t="str">
        <f>_xlfn.XLOOKUP(G103,'Kraken Trades'!$A$2:$A$28,'Kraken Trades'!$G$2:$G$28,"--",0)</f>
        <v>--</v>
      </c>
      <c r="W103" t="str">
        <f>_xlfn.XLOOKUP(G103,'Kraken Trades'!$A$2:$A$28,'Kraken Trades'!$H$2:$H$28,"--",0)</f>
        <v>--</v>
      </c>
      <c r="X103" t="str">
        <f>_xlfn.XLOOKUP(G103,'Kraken Trades'!$A$2:$A$28,'Kraken Trades'!$I$2:$I$28,"--",0)</f>
        <v>--</v>
      </c>
      <c r="Y103" t="str">
        <f>_xlfn.XLOOKUP(G103,'Kraken Trades'!$A$2:$A$28,'Kraken Trades'!$J$2:$J$28,"--",0)</f>
        <v>--</v>
      </c>
      <c r="Z103" t="str">
        <f>_xlfn.XLOOKUP(G103,'Kraken Trades'!$A$2:$A$28,'Kraken Trades'!$K$2:$K$28,"--",0)</f>
        <v>--</v>
      </c>
      <c r="AA103" t="str">
        <f>_xlfn.XLOOKUP(G103,'Kraken Trades'!$A$2:$A$28,'Kraken Trades'!$L$2:$L$28,"--",0)</f>
        <v>--</v>
      </c>
      <c r="AB103" t="str">
        <f>_xlfn.XLOOKUP(G103,'Kraken Trades'!$A$2:$A$28,'Kraken Trades'!$M$2:$M$28,"--",0)</f>
        <v>--</v>
      </c>
    </row>
    <row r="104" spans="1:28" x14ac:dyDescent="0.15">
      <c r="A104" s="78">
        <v>45104</v>
      </c>
      <c r="B104" t="s">
        <v>104</v>
      </c>
      <c r="E104" t="str">
        <f>_xlfn.XLOOKUP(D104,'DEST TAGs'!$A$2:$A$5,'DEST TAGs'!$B$2:$B$5,"--",0)</f>
        <v>--</v>
      </c>
      <c r="F104" t="s">
        <v>228</v>
      </c>
      <c r="G104" t="s">
        <v>229</v>
      </c>
      <c r="H104" s="70">
        <v>45047.658333333333</v>
      </c>
      <c r="I104" t="s">
        <v>112</v>
      </c>
      <c r="K104" t="s">
        <v>107</v>
      </c>
      <c r="L104" t="s">
        <v>108</v>
      </c>
      <c r="M104">
        <v>-1707.2419</v>
      </c>
      <c r="N104">
        <v>0</v>
      </c>
      <c r="O104">
        <v>21.907399999999999</v>
      </c>
      <c r="P104" t="str">
        <f>_xlfn.XLOOKUP(G104,'Kraken Trades'!$A$2:$A$28,'Kraken Trades'!$A$2:$A$28,"--",0)</f>
        <v>TCKMXY-WBDMT-KV7WIM</v>
      </c>
      <c r="Q104" t="str">
        <f>_xlfn.XLOOKUP(G104,'Kraken Trades'!$A$2:$A$28,'Kraken Trades'!$B$2:$B$28,"--",0)</f>
        <v>OKSCMB-WSZRF-SCT33I</v>
      </c>
      <c r="R104" t="str">
        <f>_xlfn.XLOOKUP(G104,'Kraken Trades'!$A$2:$A$28,'Kraken Trades'!$C$2:$C$28,"--",0)</f>
        <v>XRPGBP</v>
      </c>
      <c r="S104">
        <f>_xlfn.XLOOKUP(G104,'Kraken Trades'!$A$2:$A$28,'Kraken Trades'!$D$2:$D$28,"--",0)</f>
        <v>3.367708333333333E-2</v>
      </c>
      <c r="T104" t="str">
        <f>_xlfn.XLOOKUP(G104,'Kraken Trades'!$A$2:$A$28,'Kraken Trades'!$E$2:$E$28,"--",0)</f>
        <v>buy</v>
      </c>
      <c r="U104" t="str">
        <f>_xlfn.XLOOKUP(G104,'Kraken Trades'!$A$2:$A$28,'Kraken Trades'!$F$2:$F$28,"--",0)</f>
        <v>market</v>
      </c>
      <c r="V104">
        <f>_xlfn.XLOOKUP(G104,'Kraken Trades'!$A$2:$A$28,'Kraken Trades'!$G$2:$G$28,"--",0)</f>
        <v>0.36873475999999999</v>
      </c>
      <c r="W104">
        <f>_xlfn.XLOOKUP(G104,'Kraken Trades'!$A$2:$A$28,'Kraken Trades'!$H$2:$H$28,"--",0)</f>
        <v>1707.2419190000001</v>
      </c>
      <c r="X104">
        <f>_xlfn.XLOOKUP(G104,'Kraken Trades'!$A$2:$A$28,'Kraken Trades'!$I$2:$I$28,"--",0)</f>
        <v>4.4388289900000002</v>
      </c>
      <c r="Y104">
        <f>_xlfn.XLOOKUP(G104,'Kraken Trades'!$A$2:$A$28,'Kraken Trades'!$J$2:$J$28,"--",0)</f>
        <v>4630</v>
      </c>
      <c r="Z104">
        <f>_xlfn.XLOOKUP(G104,'Kraken Trades'!$A$2:$A$28,'Kraken Trades'!$K$2:$K$28,"--",0)</f>
        <v>0</v>
      </c>
      <c r="AA104" t="str">
        <f>_xlfn.XLOOKUP(G104,'Kraken Trades'!$A$2:$A$28,'Kraken Trades'!$L$2:$L$28,"--",0)</f>
        <v>initiated</v>
      </c>
      <c r="AB104" t="str">
        <f>_xlfn.XLOOKUP(G104,'Kraken Trades'!$A$2:$A$28,'Kraken Trades'!$M$2:$M$28,"--",0)</f>
        <v>LAFT3F-34O4Y-3Z6DR6,LOJBPZ-Y56PH-JIQXYT,LTRCGC-FBIEW-BT4KRV</v>
      </c>
    </row>
    <row r="105" spans="1:28" x14ac:dyDescent="0.15">
      <c r="A105" s="78">
        <v>45104</v>
      </c>
      <c r="B105" t="s">
        <v>104</v>
      </c>
      <c r="E105" t="str">
        <f>_xlfn.XLOOKUP(D105,'DEST TAGs'!$A$2:$A$5,'DEST TAGs'!$B$2:$B$5,"--",0)</f>
        <v>--</v>
      </c>
      <c r="F105" t="s">
        <v>230</v>
      </c>
      <c r="G105" t="s">
        <v>229</v>
      </c>
      <c r="H105" s="70">
        <v>45047.658333333333</v>
      </c>
      <c r="I105" t="s">
        <v>112</v>
      </c>
      <c r="K105" t="s">
        <v>107</v>
      </c>
      <c r="L105" t="s">
        <v>114</v>
      </c>
      <c r="M105">
        <v>4630</v>
      </c>
      <c r="N105">
        <v>0</v>
      </c>
      <c r="O105">
        <v>4630.6894430000002</v>
      </c>
      <c r="P105" t="str">
        <f>_xlfn.XLOOKUP(G105,'Kraken Trades'!$A$2:$A$28,'Kraken Trades'!$A$2:$A$28,"--",0)</f>
        <v>TCKMXY-WBDMT-KV7WIM</v>
      </c>
      <c r="Q105" t="str">
        <f>_xlfn.XLOOKUP(G105,'Kraken Trades'!$A$2:$A$28,'Kraken Trades'!$B$2:$B$28,"--",0)</f>
        <v>OKSCMB-WSZRF-SCT33I</v>
      </c>
      <c r="R105" t="str">
        <f>_xlfn.XLOOKUP(G105,'Kraken Trades'!$A$2:$A$28,'Kraken Trades'!$C$2:$C$28,"--",0)</f>
        <v>XRPGBP</v>
      </c>
      <c r="S105">
        <f>_xlfn.XLOOKUP(G105,'Kraken Trades'!$A$2:$A$28,'Kraken Trades'!$D$2:$D$28,"--",0)</f>
        <v>3.367708333333333E-2</v>
      </c>
      <c r="T105" t="str">
        <f>_xlfn.XLOOKUP(G105,'Kraken Trades'!$A$2:$A$28,'Kraken Trades'!$E$2:$E$28,"--",0)</f>
        <v>buy</v>
      </c>
      <c r="U105" t="str">
        <f>_xlfn.XLOOKUP(G105,'Kraken Trades'!$A$2:$A$28,'Kraken Trades'!$F$2:$F$28,"--",0)</f>
        <v>market</v>
      </c>
      <c r="V105">
        <f>_xlfn.XLOOKUP(G105,'Kraken Trades'!$A$2:$A$28,'Kraken Trades'!$G$2:$G$28,"--",0)</f>
        <v>0.36873475999999999</v>
      </c>
      <c r="W105">
        <f>_xlfn.XLOOKUP(G105,'Kraken Trades'!$A$2:$A$28,'Kraken Trades'!$H$2:$H$28,"--",0)</f>
        <v>1707.2419190000001</v>
      </c>
      <c r="X105">
        <f>_xlfn.XLOOKUP(G105,'Kraken Trades'!$A$2:$A$28,'Kraken Trades'!$I$2:$I$28,"--",0)</f>
        <v>4.4388289900000002</v>
      </c>
      <c r="Y105">
        <f>_xlfn.XLOOKUP(G105,'Kraken Trades'!$A$2:$A$28,'Kraken Trades'!$J$2:$J$28,"--",0)</f>
        <v>4630</v>
      </c>
      <c r="Z105">
        <f>_xlfn.XLOOKUP(G105,'Kraken Trades'!$A$2:$A$28,'Kraken Trades'!$K$2:$K$28,"--",0)</f>
        <v>0</v>
      </c>
      <c r="AA105" t="str">
        <f>_xlfn.XLOOKUP(G105,'Kraken Trades'!$A$2:$A$28,'Kraken Trades'!$L$2:$L$28,"--",0)</f>
        <v>initiated</v>
      </c>
      <c r="AB105" t="str">
        <f>_xlfn.XLOOKUP(G105,'Kraken Trades'!$A$2:$A$28,'Kraken Trades'!$M$2:$M$28,"--",0)</f>
        <v>LAFT3F-34O4Y-3Z6DR6,LOJBPZ-Y56PH-JIQXYT,LTRCGC-FBIEW-BT4KRV</v>
      </c>
    </row>
    <row r="106" spans="1:28" x14ac:dyDescent="0.15">
      <c r="A106" s="78">
        <v>45104</v>
      </c>
      <c r="B106" t="s">
        <v>104</v>
      </c>
      <c r="E106" t="str">
        <f>_xlfn.XLOOKUP(D106,'DEST TAGs'!$A$2:$A$5,'DEST TAGs'!$B$2:$B$5,"--",0)</f>
        <v>--</v>
      </c>
      <c r="F106" t="s">
        <v>231</v>
      </c>
      <c r="G106" t="s">
        <v>229</v>
      </c>
      <c r="H106" s="70">
        <v>45047.658333333333</v>
      </c>
      <c r="I106" t="s">
        <v>112</v>
      </c>
      <c r="K106" t="s">
        <v>107</v>
      </c>
      <c r="L106" t="s">
        <v>116</v>
      </c>
      <c r="M106">
        <v>0</v>
      </c>
      <c r="N106">
        <v>554.19000000000005</v>
      </c>
      <c r="O106">
        <v>4035.45</v>
      </c>
      <c r="P106" t="str">
        <f>_xlfn.XLOOKUP(G106,'Kraken Trades'!$A$2:$A$28,'Kraken Trades'!$A$2:$A$28,"--",0)</f>
        <v>TCKMXY-WBDMT-KV7WIM</v>
      </c>
      <c r="Q106" t="str">
        <f>_xlfn.XLOOKUP(G106,'Kraken Trades'!$A$2:$A$28,'Kraken Trades'!$B$2:$B$28,"--",0)</f>
        <v>OKSCMB-WSZRF-SCT33I</v>
      </c>
      <c r="R106" t="str">
        <f>_xlfn.XLOOKUP(G106,'Kraken Trades'!$A$2:$A$28,'Kraken Trades'!$C$2:$C$28,"--",0)</f>
        <v>XRPGBP</v>
      </c>
      <c r="S106">
        <f>_xlfn.XLOOKUP(G106,'Kraken Trades'!$A$2:$A$28,'Kraken Trades'!$D$2:$D$28,"--",0)</f>
        <v>3.367708333333333E-2</v>
      </c>
      <c r="T106" t="str">
        <f>_xlfn.XLOOKUP(G106,'Kraken Trades'!$A$2:$A$28,'Kraken Trades'!$E$2:$E$28,"--",0)</f>
        <v>buy</v>
      </c>
      <c r="U106" t="str">
        <f>_xlfn.XLOOKUP(G106,'Kraken Trades'!$A$2:$A$28,'Kraken Trades'!$F$2:$F$28,"--",0)</f>
        <v>market</v>
      </c>
      <c r="V106">
        <f>_xlfn.XLOOKUP(G106,'Kraken Trades'!$A$2:$A$28,'Kraken Trades'!$G$2:$G$28,"--",0)</f>
        <v>0.36873475999999999</v>
      </c>
      <c r="W106">
        <f>_xlfn.XLOOKUP(G106,'Kraken Trades'!$A$2:$A$28,'Kraken Trades'!$H$2:$H$28,"--",0)</f>
        <v>1707.2419190000001</v>
      </c>
      <c r="X106">
        <f>_xlfn.XLOOKUP(G106,'Kraken Trades'!$A$2:$A$28,'Kraken Trades'!$I$2:$I$28,"--",0)</f>
        <v>4.4388289900000002</v>
      </c>
      <c r="Y106">
        <f>_xlfn.XLOOKUP(G106,'Kraken Trades'!$A$2:$A$28,'Kraken Trades'!$J$2:$J$28,"--",0)</f>
        <v>4630</v>
      </c>
      <c r="Z106">
        <f>_xlfn.XLOOKUP(G106,'Kraken Trades'!$A$2:$A$28,'Kraken Trades'!$K$2:$K$28,"--",0)</f>
        <v>0</v>
      </c>
      <c r="AA106" t="str">
        <f>_xlfn.XLOOKUP(G106,'Kraken Trades'!$A$2:$A$28,'Kraken Trades'!$L$2:$L$28,"--",0)</f>
        <v>initiated</v>
      </c>
      <c r="AB106" t="str">
        <f>_xlfn.XLOOKUP(G106,'Kraken Trades'!$A$2:$A$28,'Kraken Trades'!$M$2:$M$28,"--",0)</f>
        <v>LAFT3F-34O4Y-3Z6DR6,LOJBPZ-Y56PH-JIQXYT,LTRCGC-FBIEW-BT4KRV</v>
      </c>
    </row>
    <row r="107" spans="1:28" x14ac:dyDescent="0.15">
      <c r="A107" s="78">
        <v>45104</v>
      </c>
      <c r="B107" t="s">
        <v>104</v>
      </c>
      <c r="E107" t="str">
        <f>_xlfn.XLOOKUP(D107,'DEST TAGs'!$A$2:$A$5,'DEST TAGs'!$B$2:$B$5,"--",0)</f>
        <v>--</v>
      </c>
      <c r="G107" t="s">
        <v>232</v>
      </c>
      <c r="H107" s="70">
        <v>45047.659722222219</v>
      </c>
      <c r="I107" t="s">
        <v>118</v>
      </c>
      <c r="K107" t="s">
        <v>107</v>
      </c>
      <c r="L107" t="s">
        <v>114</v>
      </c>
      <c r="M107">
        <v>-4630</v>
      </c>
      <c r="N107">
        <v>0.02</v>
      </c>
      <c r="P107" t="str">
        <f>_xlfn.XLOOKUP(G107,'Kraken Trades'!$A$2:$A$28,'Kraken Trades'!$A$2:$A$28,"--",0)</f>
        <v>--</v>
      </c>
      <c r="Q107" t="str">
        <f>_xlfn.XLOOKUP(G107,'Kraken Trades'!$A$2:$A$28,'Kraken Trades'!$B$2:$B$28,"--",0)</f>
        <v>--</v>
      </c>
      <c r="R107" t="str">
        <f>_xlfn.XLOOKUP(G107,'Kraken Trades'!$A$2:$A$28,'Kraken Trades'!$C$2:$C$28,"--",0)</f>
        <v>--</v>
      </c>
      <c r="S107" t="str">
        <f>_xlfn.XLOOKUP(G107,'Kraken Trades'!$A$2:$A$28,'Kraken Trades'!$D$2:$D$28,"--",0)</f>
        <v>--</v>
      </c>
      <c r="T107" t="str">
        <f>_xlfn.XLOOKUP(G107,'Kraken Trades'!$A$2:$A$28,'Kraken Trades'!$E$2:$E$28,"--",0)</f>
        <v>--</v>
      </c>
      <c r="U107" t="str">
        <f>_xlfn.XLOOKUP(G107,'Kraken Trades'!$A$2:$A$28,'Kraken Trades'!$F$2:$F$28,"--",0)</f>
        <v>--</v>
      </c>
      <c r="V107" t="str">
        <f>_xlfn.XLOOKUP(G107,'Kraken Trades'!$A$2:$A$28,'Kraken Trades'!$G$2:$G$28,"--",0)</f>
        <v>--</v>
      </c>
      <c r="W107" t="str">
        <f>_xlfn.XLOOKUP(G107,'Kraken Trades'!$A$2:$A$28,'Kraken Trades'!$H$2:$H$28,"--",0)</f>
        <v>--</v>
      </c>
      <c r="X107" t="str">
        <f>_xlfn.XLOOKUP(G107,'Kraken Trades'!$A$2:$A$28,'Kraken Trades'!$I$2:$I$28,"--",0)</f>
        <v>--</v>
      </c>
      <c r="Y107" t="str">
        <f>_xlfn.XLOOKUP(G107,'Kraken Trades'!$A$2:$A$28,'Kraken Trades'!$J$2:$J$28,"--",0)</f>
        <v>--</v>
      </c>
      <c r="Z107" t="str">
        <f>_xlfn.XLOOKUP(G107,'Kraken Trades'!$A$2:$A$28,'Kraken Trades'!$K$2:$K$28,"--",0)</f>
        <v>--</v>
      </c>
      <c r="AA107" t="str">
        <f>_xlfn.XLOOKUP(G107,'Kraken Trades'!$A$2:$A$28,'Kraken Trades'!$L$2:$L$28,"--",0)</f>
        <v>--</v>
      </c>
      <c r="AB107" t="str">
        <f>_xlfn.XLOOKUP(G107,'Kraken Trades'!$A$2:$A$28,'Kraken Trades'!$M$2:$M$28,"--",0)</f>
        <v>--</v>
      </c>
    </row>
    <row r="108" spans="1:28" x14ac:dyDescent="0.15">
      <c r="A108" s="78">
        <v>45104</v>
      </c>
      <c r="B108" t="s">
        <v>104</v>
      </c>
      <c r="C108" s="77" t="s">
        <v>64</v>
      </c>
      <c r="D108">
        <v>518294827</v>
      </c>
      <c r="E108" t="str">
        <f>_xlfn.XLOOKUP(D108,'DEST TAGs'!$A$2:$A$5,'DEST TAGs'!$B$2:$B$5,"--",0)</f>
        <v>Alex Smirnov</v>
      </c>
      <c r="F108" t="s">
        <v>233</v>
      </c>
      <c r="G108" t="s">
        <v>232</v>
      </c>
      <c r="H108" s="70">
        <v>45047.660416666666</v>
      </c>
      <c r="I108" t="s">
        <v>118</v>
      </c>
      <c r="K108" t="s">
        <v>107</v>
      </c>
      <c r="L108" t="s">
        <v>114</v>
      </c>
      <c r="M108">
        <v>-4630</v>
      </c>
      <c r="N108">
        <v>0.02</v>
      </c>
      <c r="O108">
        <v>0.66944334000000005</v>
      </c>
      <c r="P108" t="str">
        <f>_xlfn.XLOOKUP(G108,'Kraken Trades'!$A$2:$A$28,'Kraken Trades'!$A$2:$A$28,"--",0)</f>
        <v>--</v>
      </c>
      <c r="Q108" t="str">
        <f>_xlfn.XLOOKUP(G108,'Kraken Trades'!$A$2:$A$28,'Kraken Trades'!$B$2:$B$28,"--",0)</f>
        <v>--</v>
      </c>
      <c r="R108" t="str">
        <f>_xlfn.XLOOKUP(G108,'Kraken Trades'!$A$2:$A$28,'Kraken Trades'!$C$2:$C$28,"--",0)</f>
        <v>--</v>
      </c>
      <c r="S108" t="str">
        <f>_xlfn.XLOOKUP(G108,'Kraken Trades'!$A$2:$A$28,'Kraken Trades'!$D$2:$D$28,"--",0)</f>
        <v>--</v>
      </c>
      <c r="T108" t="str">
        <f>_xlfn.XLOOKUP(G108,'Kraken Trades'!$A$2:$A$28,'Kraken Trades'!$E$2:$E$28,"--",0)</f>
        <v>--</v>
      </c>
      <c r="U108" t="str">
        <f>_xlfn.XLOOKUP(G108,'Kraken Trades'!$A$2:$A$28,'Kraken Trades'!$F$2:$F$28,"--",0)</f>
        <v>--</v>
      </c>
      <c r="V108" t="str">
        <f>_xlfn.XLOOKUP(G108,'Kraken Trades'!$A$2:$A$28,'Kraken Trades'!$G$2:$G$28,"--",0)</f>
        <v>--</v>
      </c>
      <c r="W108" t="str">
        <f>_xlfn.XLOOKUP(G108,'Kraken Trades'!$A$2:$A$28,'Kraken Trades'!$H$2:$H$28,"--",0)</f>
        <v>--</v>
      </c>
      <c r="X108" t="str">
        <f>_xlfn.XLOOKUP(G108,'Kraken Trades'!$A$2:$A$28,'Kraken Trades'!$I$2:$I$28,"--",0)</f>
        <v>--</v>
      </c>
      <c r="Y108" t="str">
        <f>_xlfn.XLOOKUP(G108,'Kraken Trades'!$A$2:$A$28,'Kraken Trades'!$J$2:$J$28,"--",0)</f>
        <v>--</v>
      </c>
      <c r="Z108" t="str">
        <f>_xlfn.XLOOKUP(G108,'Kraken Trades'!$A$2:$A$28,'Kraken Trades'!$K$2:$K$28,"--",0)</f>
        <v>--</v>
      </c>
      <c r="AA108" t="str">
        <f>_xlfn.XLOOKUP(G108,'Kraken Trades'!$A$2:$A$28,'Kraken Trades'!$L$2:$L$28,"--",0)</f>
        <v>--</v>
      </c>
      <c r="AB108" t="str">
        <f>_xlfn.XLOOKUP(G108,'Kraken Trades'!$A$2:$A$28,'Kraken Trades'!$M$2:$M$28,"--",0)</f>
        <v>--</v>
      </c>
    </row>
    <row r="109" spans="1:28" x14ac:dyDescent="0.15">
      <c r="A109" s="78">
        <v>45104</v>
      </c>
      <c r="B109" t="s">
        <v>104</v>
      </c>
      <c r="E109" t="str">
        <f>_xlfn.XLOOKUP(D109,'DEST TAGs'!$A$2:$A$5,'DEST TAGs'!$B$2:$B$5,"--",0)</f>
        <v>--</v>
      </c>
      <c r="G109" t="s">
        <v>234</v>
      </c>
      <c r="H109" s="70">
        <v>45054.459027777775</v>
      </c>
      <c r="I109" t="s">
        <v>106</v>
      </c>
      <c r="K109" t="s">
        <v>107</v>
      </c>
      <c r="L109" t="s">
        <v>108</v>
      </c>
      <c r="M109">
        <v>1350</v>
      </c>
      <c r="N109">
        <v>0</v>
      </c>
      <c r="P109" t="str">
        <f>_xlfn.XLOOKUP(G109,'Kraken Trades'!$A$2:$A$28,'Kraken Trades'!$A$2:$A$28,"--",0)</f>
        <v>--</v>
      </c>
      <c r="Q109" t="str">
        <f>_xlfn.XLOOKUP(G109,'Kraken Trades'!$A$2:$A$28,'Kraken Trades'!$B$2:$B$28,"--",0)</f>
        <v>--</v>
      </c>
      <c r="R109" t="str">
        <f>_xlfn.XLOOKUP(G109,'Kraken Trades'!$A$2:$A$28,'Kraken Trades'!$C$2:$C$28,"--",0)</f>
        <v>--</v>
      </c>
      <c r="S109" t="str">
        <f>_xlfn.XLOOKUP(G109,'Kraken Trades'!$A$2:$A$28,'Kraken Trades'!$D$2:$D$28,"--",0)</f>
        <v>--</v>
      </c>
      <c r="T109" t="str">
        <f>_xlfn.XLOOKUP(G109,'Kraken Trades'!$A$2:$A$28,'Kraken Trades'!$E$2:$E$28,"--",0)</f>
        <v>--</v>
      </c>
      <c r="U109" t="str">
        <f>_xlfn.XLOOKUP(G109,'Kraken Trades'!$A$2:$A$28,'Kraken Trades'!$F$2:$F$28,"--",0)</f>
        <v>--</v>
      </c>
      <c r="V109" t="str">
        <f>_xlfn.XLOOKUP(G109,'Kraken Trades'!$A$2:$A$28,'Kraken Trades'!$G$2:$G$28,"--",0)</f>
        <v>--</v>
      </c>
      <c r="W109" t="str">
        <f>_xlfn.XLOOKUP(G109,'Kraken Trades'!$A$2:$A$28,'Kraken Trades'!$H$2:$H$28,"--",0)</f>
        <v>--</v>
      </c>
      <c r="X109" t="str">
        <f>_xlfn.XLOOKUP(G109,'Kraken Trades'!$A$2:$A$28,'Kraken Trades'!$I$2:$I$28,"--",0)</f>
        <v>--</v>
      </c>
      <c r="Y109" t="str">
        <f>_xlfn.XLOOKUP(G109,'Kraken Trades'!$A$2:$A$28,'Kraken Trades'!$J$2:$J$28,"--",0)</f>
        <v>--</v>
      </c>
      <c r="Z109" t="str">
        <f>_xlfn.XLOOKUP(G109,'Kraken Trades'!$A$2:$A$28,'Kraken Trades'!$K$2:$K$28,"--",0)</f>
        <v>--</v>
      </c>
      <c r="AA109" t="str">
        <f>_xlfn.XLOOKUP(G109,'Kraken Trades'!$A$2:$A$28,'Kraken Trades'!$L$2:$L$28,"--",0)</f>
        <v>--</v>
      </c>
      <c r="AB109" t="str">
        <f>_xlfn.XLOOKUP(G109,'Kraken Trades'!$A$2:$A$28,'Kraken Trades'!$M$2:$M$28,"--",0)</f>
        <v>--</v>
      </c>
    </row>
    <row r="110" spans="1:28" x14ac:dyDescent="0.15">
      <c r="A110" s="78">
        <v>45104</v>
      </c>
      <c r="B110" t="s">
        <v>104</v>
      </c>
      <c r="E110" t="str">
        <f>_xlfn.XLOOKUP(D110,'DEST TAGs'!$A$2:$A$5,'DEST TAGs'!$B$2:$B$5,"--",0)</f>
        <v>--</v>
      </c>
      <c r="F110" t="s">
        <v>235</v>
      </c>
      <c r="G110" t="s">
        <v>234</v>
      </c>
      <c r="H110" s="70">
        <v>45054.493055555555</v>
      </c>
      <c r="I110" t="s">
        <v>106</v>
      </c>
      <c r="K110" t="s">
        <v>107</v>
      </c>
      <c r="L110" t="s">
        <v>108</v>
      </c>
      <c r="M110">
        <v>1350</v>
      </c>
      <c r="N110">
        <v>0</v>
      </c>
      <c r="O110">
        <v>1371.9074000000001</v>
      </c>
      <c r="P110" t="str">
        <f>_xlfn.XLOOKUP(G110,'Kraken Trades'!$A$2:$A$28,'Kraken Trades'!$A$2:$A$28,"--",0)</f>
        <v>--</v>
      </c>
      <c r="Q110" t="str">
        <f>_xlfn.XLOOKUP(G110,'Kraken Trades'!$A$2:$A$28,'Kraken Trades'!$B$2:$B$28,"--",0)</f>
        <v>--</v>
      </c>
      <c r="R110" t="str">
        <f>_xlfn.XLOOKUP(G110,'Kraken Trades'!$A$2:$A$28,'Kraken Trades'!$C$2:$C$28,"--",0)</f>
        <v>--</v>
      </c>
      <c r="S110" t="str">
        <f>_xlfn.XLOOKUP(G110,'Kraken Trades'!$A$2:$A$28,'Kraken Trades'!$D$2:$D$28,"--",0)</f>
        <v>--</v>
      </c>
      <c r="T110" t="str">
        <f>_xlfn.XLOOKUP(G110,'Kraken Trades'!$A$2:$A$28,'Kraken Trades'!$E$2:$E$28,"--",0)</f>
        <v>--</v>
      </c>
      <c r="U110" t="str">
        <f>_xlfn.XLOOKUP(G110,'Kraken Trades'!$A$2:$A$28,'Kraken Trades'!$F$2:$F$28,"--",0)</f>
        <v>--</v>
      </c>
      <c r="V110" t="str">
        <f>_xlfn.XLOOKUP(G110,'Kraken Trades'!$A$2:$A$28,'Kraken Trades'!$G$2:$G$28,"--",0)</f>
        <v>--</v>
      </c>
      <c r="W110" t="str">
        <f>_xlfn.XLOOKUP(G110,'Kraken Trades'!$A$2:$A$28,'Kraken Trades'!$H$2:$H$28,"--",0)</f>
        <v>--</v>
      </c>
      <c r="X110" t="str">
        <f>_xlfn.XLOOKUP(G110,'Kraken Trades'!$A$2:$A$28,'Kraken Trades'!$I$2:$I$28,"--",0)</f>
        <v>--</v>
      </c>
      <c r="Y110" t="str">
        <f>_xlfn.XLOOKUP(G110,'Kraken Trades'!$A$2:$A$28,'Kraken Trades'!$J$2:$J$28,"--",0)</f>
        <v>--</v>
      </c>
      <c r="Z110" t="str">
        <f>_xlfn.XLOOKUP(G110,'Kraken Trades'!$A$2:$A$28,'Kraken Trades'!$K$2:$K$28,"--",0)</f>
        <v>--</v>
      </c>
      <c r="AA110" t="str">
        <f>_xlfn.XLOOKUP(G110,'Kraken Trades'!$A$2:$A$28,'Kraken Trades'!$L$2:$L$28,"--",0)</f>
        <v>--</v>
      </c>
      <c r="AB110" t="str">
        <f>_xlfn.XLOOKUP(G110,'Kraken Trades'!$A$2:$A$28,'Kraken Trades'!$M$2:$M$28,"--",0)</f>
        <v>--</v>
      </c>
    </row>
    <row r="111" spans="1:28" x14ac:dyDescent="0.15">
      <c r="A111" s="78">
        <v>45104</v>
      </c>
      <c r="B111" t="s">
        <v>104</v>
      </c>
      <c r="E111" t="str">
        <f>_xlfn.XLOOKUP(D111,'DEST TAGs'!$A$2:$A$5,'DEST TAGs'!$B$2:$B$5,"--",0)</f>
        <v>--</v>
      </c>
      <c r="F111" t="s">
        <v>236</v>
      </c>
      <c r="G111" t="s">
        <v>237</v>
      </c>
      <c r="H111" s="70">
        <v>45054.540277777778</v>
      </c>
      <c r="I111" t="s">
        <v>112</v>
      </c>
      <c r="K111" t="s">
        <v>107</v>
      </c>
      <c r="L111" t="s">
        <v>108</v>
      </c>
      <c r="M111">
        <v>-1344.8547000000001</v>
      </c>
      <c r="N111">
        <v>0</v>
      </c>
      <c r="O111">
        <v>27.052700000000002</v>
      </c>
      <c r="P111" t="str">
        <f>_xlfn.XLOOKUP(G111,'Kraken Trades'!$A$2:$A$28,'Kraken Trades'!$A$2:$A$28,"--",0)</f>
        <v>TYRVE2-Z3OBY-5FCYQY</v>
      </c>
      <c r="Q111" t="str">
        <f>_xlfn.XLOOKUP(G111,'Kraken Trades'!$A$2:$A$28,'Kraken Trades'!$B$2:$B$28,"--",0)</f>
        <v>OD3CEA-5OKIO-FIMEML</v>
      </c>
      <c r="R111" t="str">
        <f>_xlfn.XLOOKUP(G111,'Kraken Trades'!$A$2:$A$28,'Kraken Trades'!$C$2:$C$28,"--",0)</f>
        <v>XRPGBP</v>
      </c>
      <c r="S111">
        <f>_xlfn.XLOOKUP(G111,'Kraken Trades'!$A$2:$A$28,'Kraken Trades'!$D$2:$D$28,"--",0)</f>
        <v>4.0708333333333332E-2</v>
      </c>
      <c r="T111" t="str">
        <f>_xlfn.XLOOKUP(G111,'Kraken Trades'!$A$2:$A$28,'Kraken Trades'!$E$2:$E$28,"--",0)</f>
        <v>buy</v>
      </c>
      <c r="U111" t="str">
        <f>_xlfn.XLOOKUP(G111,'Kraken Trades'!$A$2:$A$28,'Kraken Trades'!$F$2:$F$28,"--",0)</f>
        <v>market</v>
      </c>
      <c r="V111">
        <f>_xlfn.XLOOKUP(G111,'Kraken Trades'!$A$2:$A$28,'Kraken Trades'!$G$2:$G$28,"--",0)</f>
        <v>0.34483454000000002</v>
      </c>
      <c r="W111">
        <f>_xlfn.XLOOKUP(G111,'Kraken Trades'!$A$2:$A$28,'Kraken Trades'!$H$2:$H$28,"--",0)</f>
        <v>1344.8547140000001</v>
      </c>
      <c r="X111">
        <f>_xlfn.XLOOKUP(G111,'Kraken Trades'!$A$2:$A$28,'Kraken Trades'!$I$2:$I$28,"--",0)</f>
        <v>3.4966222500000002</v>
      </c>
      <c r="Y111">
        <f>_xlfn.XLOOKUP(G111,'Kraken Trades'!$A$2:$A$28,'Kraken Trades'!$J$2:$J$28,"--",0)</f>
        <v>3900</v>
      </c>
      <c r="Z111">
        <f>_xlfn.XLOOKUP(G111,'Kraken Trades'!$A$2:$A$28,'Kraken Trades'!$K$2:$K$28,"--",0)</f>
        <v>0</v>
      </c>
      <c r="AA111" t="str">
        <f>_xlfn.XLOOKUP(G111,'Kraken Trades'!$A$2:$A$28,'Kraken Trades'!$L$2:$L$28,"--",0)</f>
        <v>initiated</v>
      </c>
      <c r="AB111" t="str">
        <f>_xlfn.XLOOKUP(G111,'Kraken Trades'!$A$2:$A$28,'Kraken Trades'!$M$2:$M$28,"--",0)</f>
        <v>LQSRFB-Q6LAE-MWPGR3,L7ZYTN-RH3DV-AX77WC,LEMWMH-4ZUQV-AIGEHQ</v>
      </c>
    </row>
    <row r="112" spans="1:28" x14ac:dyDescent="0.15">
      <c r="A112" s="78">
        <v>45104</v>
      </c>
      <c r="B112" t="s">
        <v>104</v>
      </c>
      <c r="E112" t="str">
        <f>_xlfn.XLOOKUP(D112,'DEST TAGs'!$A$2:$A$5,'DEST TAGs'!$B$2:$B$5,"--",0)</f>
        <v>--</v>
      </c>
      <c r="F112" t="s">
        <v>238</v>
      </c>
      <c r="G112" t="s">
        <v>237</v>
      </c>
      <c r="H112" s="70">
        <v>45054.540277777778</v>
      </c>
      <c r="I112" t="s">
        <v>112</v>
      </c>
      <c r="K112" t="s">
        <v>107</v>
      </c>
      <c r="L112" t="s">
        <v>114</v>
      </c>
      <c r="M112">
        <v>3900</v>
      </c>
      <c r="N112">
        <v>0</v>
      </c>
      <c r="O112">
        <v>3900.6694429999998</v>
      </c>
      <c r="P112" t="str">
        <f>_xlfn.XLOOKUP(G112,'Kraken Trades'!$A$2:$A$28,'Kraken Trades'!$A$2:$A$28,"--",0)</f>
        <v>TYRVE2-Z3OBY-5FCYQY</v>
      </c>
      <c r="Q112" t="str">
        <f>_xlfn.XLOOKUP(G112,'Kraken Trades'!$A$2:$A$28,'Kraken Trades'!$B$2:$B$28,"--",0)</f>
        <v>OD3CEA-5OKIO-FIMEML</v>
      </c>
      <c r="R112" t="str">
        <f>_xlfn.XLOOKUP(G112,'Kraken Trades'!$A$2:$A$28,'Kraken Trades'!$C$2:$C$28,"--",0)</f>
        <v>XRPGBP</v>
      </c>
      <c r="S112">
        <f>_xlfn.XLOOKUP(G112,'Kraken Trades'!$A$2:$A$28,'Kraken Trades'!$D$2:$D$28,"--",0)</f>
        <v>4.0708333333333332E-2</v>
      </c>
      <c r="T112" t="str">
        <f>_xlfn.XLOOKUP(G112,'Kraken Trades'!$A$2:$A$28,'Kraken Trades'!$E$2:$E$28,"--",0)</f>
        <v>buy</v>
      </c>
      <c r="U112" t="str">
        <f>_xlfn.XLOOKUP(G112,'Kraken Trades'!$A$2:$A$28,'Kraken Trades'!$F$2:$F$28,"--",0)</f>
        <v>market</v>
      </c>
      <c r="V112">
        <f>_xlfn.XLOOKUP(G112,'Kraken Trades'!$A$2:$A$28,'Kraken Trades'!$G$2:$G$28,"--",0)</f>
        <v>0.34483454000000002</v>
      </c>
      <c r="W112">
        <f>_xlfn.XLOOKUP(G112,'Kraken Trades'!$A$2:$A$28,'Kraken Trades'!$H$2:$H$28,"--",0)</f>
        <v>1344.8547140000001</v>
      </c>
      <c r="X112">
        <f>_xlfn.XLOOKUP(G112,'Kraken Trades'!$A$2:$A$28,'Kraken Trades'!$I$2:$I$28,"--",0)</f>
        <v>3.4966222500000002</v>
      </c>
      <c r="Y112">
        <f>_xlfn.XLOOKUP(G112,'Kraken Trades'!$A$2:$A$28,'Kraken Trades'!$J$2:$J$28,"--",0)</f>
        <v>3900</v>
      </c>
      <c r="Z112">
        <f>_xlfn.XLOOKUP(G112,'Kraken Trades'!$A$2:$A$28,'Kraken Trades'!$K$2:$K$28,"--",0)</f>
        <v>0</v>
      </c>
      <c r="AA112" t="str">
        <f>_xlfn.XLOOKUP(G112,'Kraken Trades'!$A$2:$A$28,'Kraken Trades'!$L$2:$L$28,"--",0)</f>
        <v>initiated</v>
      </c>
      <c r="AB112" t="str">
        <f>_xlfn.XLOOKUP(G112,'Kraken Trades'!$A$2:$A$28,'Kraken Trades'!$M$2:$M$28,"--",0)</f>
        <v>LQSRFB-Q6LAE-MWPGR3,L7ZYTN-RH3DV-AX77WC,LEMWMH-4ZUQV-AIGEHQ</v>
      </c>
    </row>
    <row r="113" spans="1:28" x14ac:dyDescent="0.15">
      <c r="A113" s="78">
        <v>45104</v>
      </c>
      <c r="B113" t="s">
        <v>104</v>
      </c>
      <c r="E113" t="str">
        <f>_xlfn.XLOOKUP(D113,'DEST TAGs'!$A$2:$A$5,'DEST TAGs'!$B$2:$B$5,"--",0)</f>
        <v>--</v>
      </c>
      <c r="F113" t="s">
        <v>239</v>
      </c>
      <c r="G113" t="s">
        <v>237</v>
      </c>
      <c r="H113" s="70">
        <v>45054.540277777778</v>
      </c>
      <c r="I113" t="s">
        <v>112</v>
      </c>
      <c r="K113" t="s">
        <v>107</v>
      </c>
      <c r="L113" t="s">
        <v>116</v>
      </c>
      <c r="M113">
        <v>0</v>
      </c>
      <c r="N113">
        <v>442.18</v>
      </c>
      <c r="O113">
        <v>3593.27</v>
      </c>
      <c r="P113" t="str">
        <f>_xlfn.XLOOKUP(G113,'Kraken Trades'!$A$2:$A$28,'Kraken Trades'!$A$2:$A$28,"--",0)</f>
        <v>TYRVE2-Z3OBY-5FCYQY</v>
      </c>
      <c r="Q113" t="str">
        <f>_xlfn.XLOOKUP(G113,'Kraken Trades'!$A$2:$A$28,'Kraken Trades'!$B$2:$B$28,"--",0)</f>
        <v>OD3CEA-5OKIO-FIMEML</v>
      </c>
      <c r="R113" t="str">
        <f>_xlfn.XLOOKUP(G113,'Kraken Trades'!$A$2:$A$28,'Kraken Trades'!$C$2:$C$28,"--",0)</f>
        <v>XRPGBP</v>
      </c>
      <c r="S113">
        <f>_xlfn.XLOOKUP(G113,'Kraken Trades'!$A$2:$A$28,'Kraken Trades'!$D$2:$D$28,"--",0)</f>
        <v>4.0708333333333332E-2</v>
      </c>
      <c r="T113" t="str">
        <f>_xlfn.XLOOKUP(G113,'Kraken Trades'!$A$2:$A$28,'Kraken Trades'!$E$2:$E$28,"--",0)</f>
        <v>buy</v>
      </c>
      <c r="U113" t="str">
        <f>_xlfn.XLOOKUP(G113,'Kraken Trades'!$A$2:$A$28,'Kraken Trades'!$F$2:$F$28,"--",0)</f>
        <v>market</v>
      </c>
      <c r="V113">
        <f>_xlfn.XLOOKUP(G113,'Kraken Trades'!$A$2:$A$28,'Kraken Trades'!$G$2:$G$28,"--",0)</f>
        <v>0.34483454000000002</v>
      </c>
      <c r="W113">
        <f>_xlfn.XLOOKUP(G113,'Kraken Trades'!$A$2:$A$28,'Kraken Trades'!$H$2:$H$28,"--",0)</f>
        <v>1344.8547140000001</v>
      </c>
      <c r="X113">
        <f>_xlfn.XLOOKUP(G113,'Kraken Trades'!$A$2:$A$28,'Kraken Trades'!$I$2:$I$28,"--",0)</f>
        <v>3.4966222500000002</v>
      </c>
      <c r="Y113">
        <f>_xlfn.XLOOKUP(G113,'Kraken Trades'!$A$2:$A$28,'Kraken Trades'!$J$2:$J$28,"--",0)</f>
        <v>3900</v>
      </c>
      <c r="Z113">
        <f>_xlfn.XLOOKUP(G113,'Kraken Trades'!$A$2:$A$28,'Kraken Trades'!$K$2:$K$28,"--",0)</f>
        <v>0</v>
      </c>
      <c r="AA113" t="str">
        <f>_xlfn.XLOOKUP(G113,'Kraken Trades'!$A$2:$A$28,'Kraken Trades'!$L$2:$L$28,"--",0)</f>
        <v>initiated</v>
      </c>
      <c r="AB113" t="str">
        <f>_xlfn.XLOOKUP(G113,'Kraken Trades'!$A$2:$A$28,'Kraken Trades'!$M$2:$M$28,"--",0)</f>
        <v>LQSRFB-Q6LAE-MWPGR3,L7ZYTN-RH3DV-AX77WC,LEMWMH-4ZUQV-AIGEHQ</v>
      </c>
    </row>
    <row r="114" spans="1:28" x14ac:dyDescent="0.15">
      <c r="A114" s="78">
        <v>45104</v>
      </c>
      <c r="B114" t="s">
        <v>104</v>
      </c>
      <c r="E114" t="str">
        <f>_xlfn.XLOOKUP(D114,'DEST TAGs'!$A$2:$A$5,'DEST TAGs'!$B$2:$B$5,"--",0)</f>
        <v>--</v>
      </c>
      <c r="G114" t="s">
        <v>240</v>
      </c>
      <c r="H114" s="70">
        <v>45054.540972222225</v>
      </c>
      <c r="I114" t="s">
        <v>118</v>
      </c>
      <c r="K114" t="s">
        <v>107</v>
      </c>
      <c r="L114" t="s">
        <v>114</v>
      </c>
      <c r="M114">
        <v>-3900</v>
      </c>
      <c r="N114">
        <v>0.02</v>
      </c>
      <c r="P114" t="str">
        <f>_xlfn.XLOOKUP(G114,'Kraken Trades'!$A$2:$A$28,'Kraken Trades'!$A$2:$A$28,"--",0)</f>
        <v>--</v>
      </c>
      <c r="Q114" t="str">
        <f>_xlfn.XLOOKUP(G114,'Kraken Trades'!$A$2:$A$28,'Kraken Trades'!$B$2:$B$28,"--",0)</f>
        <v>--</v>
      </c>
      <c r="R114" t="str">
        <f>_xlfn.XLOOKUP(G114,'Kraken Trades'!$A$2:$A$28,'Kraken Trades'!$C$2:$C$28,"--",0)</f>
        <v>--</v>
      </c>
      <c r="S114" t="str">
        <f>_xlfn.XLOOKUP(G114,'Kraken Trades'!$A$2:$A$28,'Kraken Trades'!$D$2:$D$28,"--",0)</f>
        <v>--</v>
      </c>
      <c r="T114" t="str">
        <f>_xlfn.XLOOKUP(G114,'Kraken Trades'!$A$2:$A$28,'Kraken Trades'!$E$2:$E$28,"--",0)</f>
        <v>--</v>
      </c>
      <c r="U114" t="str">
        <f>_xlfn.XLOOKUP(G114,'Kraken Trades'!$A$2:$A$28,'Kraken Trades'!$F$2:$F$28,"--",0)</f>
        <v>--</v>
      </c>
      <c r="V114" t="str">
        <f>_xlfn.XLOOKUP(G114,'Kraken Trades'!$A$2:$A$28,'Kraken Trades'!$G$2:$G$28,"--",0)</f>
        <v>--</v>
      </c>
      <c r="W114" t="str">
        <f>_xlfn.XLOOKUP(G114,'Kraken Trades'!$A$2:$A$28,'Kraken Trades'!$H$2:$H$28,"--",0)</f>
        <v>--</v>
      </c>
      <c r="X114" t="str">
        <f>_xlfn.XLOOKUP(G114,'Kraken Trades'!$A$2:$A$28,'Kraken Trades'!$I$2:$I$28,"--",0)</f>
        <v>--</v>
      </c>
      <c r="Y114" t="str">
        <f>_xlfn.XLOOKUP(G114,'Kraken Trades'!$A$2:$A$28,'Kraken Trades'!$J$2:$J$28,"--",0)</f>
        <v>--</v>
      </c>
      <c r="Z114" t="str">
        <f>_xlfn.XLOOKUP(G114,'Kraken Trades'!$A$2:$A$28,'Kraken Trades'!$K$2:$K$28,"--",0)</f>
        <v>--</v>
      </c>
      <c r="AA114" t="str">
        <f>_xlfn.XLOOKUP(G114,'Kraken Trades'!$A$2:$A$28,'Kraken Trades'!$L$2:$L$28,"--",0)</f>
        <v>--</v>
      </c>
      <c r="AB114" t="str">
        <f>_xlfn.XLOOKUP(G114,'Kraken Trades'!$A$2:$A$28,'Kraken Trades'!$M$2:$M$28,"--",0)</f>
        <v>--</v>
      </c>
    </row>
    <row r="115" spans="1:28" x14ac:dyDescent="0.15">
      <c r="A115" s="78">
        <v>45104</v>
      </c>
      <c r="B115" t="s">
        <v>104</v>
      </c>
      <c r="C115" s="77" t="s">
        <v>65</v>
      </c>
      <c r="D115">
        <v>442734179</v>
      </c>
      <c r="E115" t="str">
        <f>_xlfn.XLOOKUP(D115,'DEST TAGs'!$A$2:$A$5,'DEST TAGs'!$B$2:$B$5,"--",0)</f>
        <v>Evgeniy Ulyukin</v>
      </c>
      <c r="F115" t="s">
        <v>241</v>
      </c>
      <c r="G115" t="s">
        <v>240</v>
      </c>
      <c r="H115" s="70">
        <v>45054.542361111111</v>
      </c>
      <c r="I115" t="s">
        <v>118</v>
      </c>
      <c r="K115" t="s">
        <v>107</v>
      </c>
      <c r="L115" t="s">
        <v>114</v>
      </c>
      <c r="M115">
        <v>-3900</v>
      </c>
      <c r="N115">
        <v>0.02</v>
      </c>
      <c r="O115">
        <v>0.64944334000000004</v>
      </c>
      <c r="P115" t="str">
        <f>_xlfn.XLOOKUP(G115,'Kraken Trades'!$A$2:$A$28,'Kraken Trades'!$A$2:$A$28,"--",0)</f>
        <v>--</v>
      </c>
      <c r="Q115" t="str">
        <f>_xlfn.XLOOKUP(G115,'Kraken Trades'!$A$2:$A$28,'Kraken Trades'!$B$2:$B$28,"--",0)</f>
        <v>--</v>
      </c>
      <c r="R115" t="str">
        <f>_xlfn.XLOOKUP(G115,'Kraken Trades'!$A$2:$A$28,'Kraken Trades'!$C$2:$C$28,"--",0)</f>
        <v>--</v>
      </c>
      <c r="S115" t="str">
        <f>_xlfn.XLOOKUP(G115,'Kraken Trades'!$A$2:$A$28,'Kraken Trades'!$D$2:$D$28,"--",0)</f>
        <v>--</v>
      </c>
      <c r="T115" t="str">
        <f>_xlfn.XLOOKUP(G115,'Kraken Trades'!$A$2:$A$28,'Kraken Trades'!$E$2:$E$28,"--",0)</f>
        <v>--</v>
      </c>
      <c r="U115" t="str">
        <f>_xlfn.XLOOKUP(G115,'Kraken Trades'!$A$2:$A$28,'Kraken Trades'!$F$2:$F$28,"--",0)</f>
        <v>--</v>
      </c>
      <c r="V115" t="str">
        <f>_xlfn.XLOOKUP(G115,'Kraken Trades'!$A$2:$A$28,'Kraken Trades'!$G$2:$G$28,"--",0)</f>
        <v>--</v>
      </c>
      <c r="W115" t="str">
        <f>_xlfn.XLOOKUP(G115,'Kraken Trades'!$A$2:$A$28,'Kraken Trades'!$H$2:$H$28,"--",0)</f>
        <v>--</v>
      </c>
      <c r="X115" t="str">
        <f>_xlfn.XLOOKUP(G115,'Kraken Trades'!$A$2:$A$28,'Kraken Trades'!$I$2:$I$28,"--",0)</f>
        <v>--</v>
      </c>
      <c r="Y115" t="str">
        <f>_xlfn.XLOOKUP(G115,'Kraken Trades'!$A$2:$A$28,'Kraken Trades'!$J$2:$J$28,"--",0)</f>
        <v>--</v>
      </c>
      <c r="Z115" t="str">
        <f>_xlfn.XLOOKUP(G115,'Kraken Trades'!$A$2:$A$28,'Kraken Trades'!$K$2:$K$28,"--",0)</f>
        <v>--</v>
      </c>
      <c r="AA115" t="str">
        <f>_xlfn.XLOOKUP(G115,'Kraken Trades'!$A$2:$A$28,'Kraken Trades'!$L$2:$L$28,"--",0)</f>
        <v>--</v>
      </c>
      <c r="AB115" t="str">
        <f>_xlfn.XLOOKUP(G115,'Kraken Trades'!$A$2:$A$28,'Kraken Trades'!$M$2:$M$28,"--",0)</f>
        <v>--</v>
      </c>
    </row>
    <row r="116" spans="1:28" x14ac:dyDescent="0.15">
      <c r="A116" s="78">
        <v>45104</v>
      </c>
      <c r="B116" t="s">
        <v>104</v>
      </c>
      <c r="E116" t="str">
        <f>_xlfn.XLOOKUP(D116,'DEST TAGs'!$A$2:$A$5,'DEST TAGs'!$B$2:$B$5,"--",0)</f>
        <v>--</v>
      </c>
      <c r="G116" t="s">
        <v>242</v>
      </c>
      <c r="H116" s="70">
        <v>45060.392361111109</v>
      </c>
      <c r="I116" t="s">
        <v>106</v>
      </c>
      <c r="K116" t="s">
        <v>107</v>
      </c>
      <c r="L116" t="s">
        <v>108</v>
      </c>
      <c r="M116">
        <v>375</v>
      </c>
      <c r="N116">
        <v>0</v>
      </c>
      <c r="P116" t="str">
        <f>_xlfn.XLOOKUP(G116,'Kraken Trades'!$A$2:$A$28,'Kraken Trades'!$A$2:$A$28,"--",0)</f>
        <v>--</v>
      </c>
      <c r="Q116" t="str">
        <f>_xlfn.XLOOKUP(G116,'Kraken Trades'!$A$2:$A$28,'Kraken Trades'!$B$2:$B$28,"--",0)</f>
        <v>--</v>
      </c>
      <c r="R116" t="str">
        <f>_xlfn.XLOOKUP(G116,'Kraken Trades'!$A$2:$A$28,'Kraken Trades'!$C$2:$C$28,"--",0)</f>
        <v>--</v>
      </c>
      <c r="S116" t="str">
        <f>_xlfn.XLOOKUP(G116,'Kraken Trades'!$A$2:$A$28,'Kraken Trades'!$D$2:$D$28,"--",0)</f>
        <v>--</v>
      </c>
      <c r="T116" t="str">
        <f>_xlfn.XLOOKUP(G116,'Kraken Trades'!$A$2:$A$28,'Kraken Trades'!$E$2:$E$28,"--",0)</f>
        <v>--</v>
      </c>
      <c r="U116" t="str">
        <f>_xlfn.XLOOKUP(G116,'Kraken Trades'!$A$2:$A$28,'Kraken Trades'!$F$2:$F$28,"--",0)</f>
        <v>--</v>
      </c>
      <c r="V116" t="str">
        <f>_xlfn.XLOOKUP(G116,'Kraken Trades'!$A$2:$A$28,'Kraken Trades'!$G$2:$G$28,"--",0)</f>
        <v>--</v>
      </c>
      <c r="W116" t="str">
        <f>_xlfn.XLOOKUP(G116,'Kraken Trades'!$A$2:$A$28,'Kraken Trades'!$H$2:$H$28,"--",0)</f>
        <v>--</v>
      </c>
      <c r="X116" t="str">
        <f>_xlfn.XLOOKUP(G116,'Kraken Trades'!$A$2:$A$28,'Kraken Trades'!$I$2:$I$28,"--",0)</f>
        <v>--</v>
      </c>
      <c r="Y116" t="str">
        <f>_xlfn.XLOOKUP(G116,'Kraken Trades'!$A$2:$A$28,'Kraken Trades'!$J$2:$J$28,"--",0)</f>
        <v>--</v>
      </c>
      <c r="Z116" t="str">
        <f>_xlfn.XLOOKUP(G116,'Kraken Trades'!$A$2:$A$28,'Kraken Trades'!$K$2:$K$28,"--",0)</f>
        <v>--</v>
      </c>
      <c r="AA116" t="str">
        <f>_xlfn.XLOOKUP(G116,'Kraken Trades'!$A$2:$A$28,'Kraken Trades'!$L$2:$L$28,"--",0)</f>
        <v>--</v>
      </c>
      <c r="AB116" t="str">
        <f>_xlfn.XLOOKUP(G116,'Kraken Trades'!$A$2:$A$28,'Kraken Trades'!$M$2:$M$28,"--",0)</f>
        <v>--</v>
      </c>
    </row>
    <row r="117" spans="1:28" x14ac:dyDescent="0.15">
      <c r="A117" s="78">
        <v>45104</v>
      </c>
      <c r="B117" t="s">
        <v>104</v>
      </c>
      <c r="E117" t="str">
        <f>_xlfn.XLOOKUP(D117,'DEST TAGs'!$A$2:$A$5,'DEST TAGs'!$B$2:$B$5,"--",0)</f>
        <v>--</v>
      </c>
      <c r="F117" t="s">
        <v>243</v>
      </c>
      <c r="G117" t="s">
        <v>242</v>
      </c>
      <c r="H117" s="70">
        <v>45060.458333333336</v>
      </c>
      <c r="I117" t="s">
        <v>106</v>
      </c>
      <c r="K117" t="s">
        <v>107</v>
      </c>
      <c r="L117" t="s">
        <v>108</v>
      </c>
      <c r="M117">
        <v>375</v>
      </c>
      <c r="N117">
        <v>0</v>
      </c>
      <c r="O117">
        <v>402.05270000000002</v>
      </c>
      <c r="P117" t="str">
        <f>_xlfn.XLOOKUP(G117,'Kraken Trades'!$A$2:$A$28,'Kraken Trades'!$A$2:$A$28,"--",0)</f>
        <v>--</v>
      </c>
      <c r="Q117" t="str">
        <f>_xlfn.XLOOKUP(G117,'Kraken Trades'!$A$2:$A$28,'Kraken Trades'!$B$2:$B$28,"--",0)</f>
        <v>--</v>
      </c>
      <c r="R117" t="str">
        <f>_xlfn.XLOOKUP(G117,'Kraken Trades'!$A$2:$A$28,'Kraken Trades'!$C$2:$C$28,"--",0)</f>
        <v>--</v>
      </c>
      <c r="S117" t="str">
        <f>_xlfn.XLOOKUP(G117,'Kraken Trades'!$A$2:$A$28,'Kraken Trades'!$D$2:$D$28,"--",0)</f>
        <v>--</v>
      </c>
      <c r="T117" t="str">
        <f>_xlfn.XLOOKUP(G117,'Kraken Trades'!$A$2:$A$28,'Kraken Trades'!$E$2:$E$28,"--",0)</f>
        <v>--</v>
      </c>
      <c r="U117" t="str">
        <f>_xlfn.XLOOKUP(G117,'Kraken Trades'!$A$2:$A$28,'Kraken Trades'!$F$2:$F$28,"--",0)</f>
        <v>--</v>
      </c>
      <c r="V117" t="str">
        <f>_xlfn.XLOOKUP(G117,'Kraken Trades'!$A$2:$A$28,'Kraken Trades'!$G$2:$G$28,"--",0)</f>
        <v>--</v>
      </c>
      <c r="W117" t="str">
        <f>_xlfn.XLOOKUP(G117,'Kraken Trades'!$A$2:$A$28,'Kraken Trades'!$H$2:$H$28,"--",0)</f>
        <v>--</v>
      </c>
      <c r="X117" t="str">
        <f>_xlfn.XLOOKUP(G117,'Kraken Trades'!$A$2:$A$28,'Kraken Trades'!$I$2:$I$28,"--",0)</f>
        <v>--</v>
      </c>
      <c r="Y117" t="str">
        <f>_xlfn.XLOOKUP(G117,'Kraken Trades'!$A$2:$A$28,'Kraken Trades'!$J$2:$J$28,"--",0)</f>
        <v>--</v>
      </c>
      <c r="Z117" t="str">
        <f>_xlfn.XLOOKUP(G117,'Kraken Trades'!$A$2:$A$28,'Kraken Trades'!$K$2:$K$28,"--",0)</f>
        <v>--</v>
      </c>
      <c r="AA117" t="str">
        <f>_xlfn.XLOOKUP(G117,'Kraken Trades'!$A$2:$A$28,'Kraken Trades'!$L$2:$L$28,"--",0)</f>
        <v>--</v>
      </c>
      <c r="AB117" t="str">
        <f>_xlfn.XLOOKUP(G117,'Kraken Trades'!$A$2:$A$28,'Kraken Trades'!$M$2:$M$28,"--",0)</f>
        <v>--</v>
      </c>
    </row>
    <row r="118" spans="1:28" x14ac:dyDescent="0.15">
      <c r="A118" s="78">
        <v>45104</v>
      </c>
      <c r="B118" t="s">
        <v>104</v>
      </c>
      <c r="E118" t="str">
        <f>_xlfn.XLOOKUP(D118,'DEST TAGs'!$A$2:$A$5,'DEST TAGs'!$B$2:$B$5,"--",0)</f>
        <v>--</v>
      </c>
      <c r="F118" t="s">
        <v>244</v>
      </c>
      <c r="G118" t="s">
        <v>245</v>
      </c>
      <c r="H118" s="70">
        <v>45060.500694444447</v>
      </c>
      <c r="I118" t="s">
        <v>112</v>
      </c>
      <c r="K118" t="s">
        <v>107</v>
      </c>
      <c r="L118" t="s">
        <v>108</v>
      </c>
      <c r="M118">
        <v>-384.45510000000002</v>
      </c>
      <c r="N118">
        <v>0</v>
      </c>
      <c r="O118">
        <v>17.5976</v>
      </c>
      <c r="P118" t="str">
        <f>_xlfn.XLOOKUP(G118,'Kraken Trades'!$A$2:$A$28,'Kraken Trades'!$A$2:$A$28,"--",0)</f>
        <v>TON7HH-6E3WM-6ZEO47</v>
      </c>
      <c r="Q118" t="str">
        <f>_xlfn.XLOOKUP(G118,'Kraken Trades'!$A$2:$A$28,'Kraken Trades'!$B$2:$B$28,"--",0)</f>
        <v>ORXKUI-CP7ZJ-BLXVAE</v>
      </c>
      <c r="R118" t="str">
        <f>_xlfn.XLOOKUP(G118,'Kraken Trades'!$A$2:$A$28,'Kraken Trades'!$C$2:$C$28,"--",0)</f>
        <v>XRPGBP</v>
      </c>
      <c r="S118">
        <f>_xlfn.XLOOKUP(G118,'Kraken Trades'!$A$2:$A$28,'Kraken Trades'!$D$2:$D$28,"--",0)</f>
        <v>1.1284722222222223E-3</v>
      </c>
      <c r="T118" t="str">
        <f>_xlfn.XLOOKUP(G118,'Kraken Trades'!$A$2:$A$28,'Kraken Trades'!$E$2:$E$28,"--",0)</f>
        <v>buy</v>
      </c>
      <c r="U118" t="str">
        <f>_xlfn.XLOOKUP(G118,'Kraken Trades'!$A$2:$A$28,'Kraken Trades'!$F$2:$F$28,"--",0)</f>
        <v>market</v>
      </c>
      <c r="V118">
        <f>_xlfn.XLOOKUP(G118,'Kraken Trades'!$A$2:$A$28,'Kraken Trades'!$G$2:$G$28,"--",0)</f>
        <v>0.34325733000000003</v>
      </c>
      <c r="W118">
        <f>_xlfn.XLOOKUP(G118,'Kraken Trades'!$A$2:$A$28,'Kraken Trades'!$H$2:$H$28,"--",0)</f>
        <v>384.45507520000001</v>
      </c>
      <c r="X118">
        <f>_xlfn.XLOOKUP(G118,'Kraken Trades'!$A$2:$A$28,'Kraken Trades'!$I$2:$I$28,"--",0)</f>
        <v>0.99958320000000001</v>
      </c>
      <c r="Y118">
        <f>_xlfn.XLOOKUP(G118,'Kraken Trades'!$A$2:$A$28,'Kraken Trades'!$J$2:$J$28,"--",0)</f>
        <v>1120.02</v>
      </c>
      <c r="Z118">
        <f>_xlfn.XLOOKUP(G118,'Kraken Trades'!$A$2:$A$28,'Kraken Trades'!$K$2:$K$28,"--",0)</f>
        <v>0</v>
      </c>
      <c r="AA118" t="str">
        <f>_xlfn.XLOOKUP(G118,'Kraken Trades'!$A$2:$A$28,'Kraken Trades'!$L$2:$L$28,"--",0)</f>
        <v>initiated</v>
      </c>
      <c r="AB118" t="str">
        <f>_xlfn.XLOOKUP(G118,'Kraken Trades'!$A$2:$A$28,'Kraken Trades'!$M$2:$M$28,"--",0)</f>
        <v>LG3U5T-AJZ2S-NO6NVI,LTZEDC-WI4WD-Y3ZB2I,LLPN6G-VHP36-Q64GZD</v>
      </c>
    </row>
    <row r="119" spans="1:28" x14ac:dyDescent="0.15">
      <c r="A119" s="78">
        <v>45104</v>
      </c>
      <c r="B119" t="s">
        <v>104</v>
      </c>
      <c r="E119" t="str">
        <f>_xlfn.XLOOKUP(D119,'DEST TAGs'!$A$2:$A$5,'DEST TAGs'!$B$2:$B$5,"--",0)</f>
        <v>--</v>
      </c>
      <c r="F119" t="s">
        <v>246</v>
      </c>
      <c r="G119" t="s">
        <v>245</v>
      </c>
      <c r="H119" s="70">
        <v>45060.500694444447</v>
      </c>
      <c r="I119" t="s">
        <v>112</v>
      </c>
      <c r="K119" t="s">
        <v>107</v>
      </c>
      <c r="L119" t="s">
        <v>114</v>
      </c>
      <c r="M119">
        <v>1120.02</v>
      </c>
      <c r="N119">
        <v>0</v>
      </c>
      <c r="O119">
        <v>1120.669443</v>
      </c>
      <c r="P119" t="str">
        <f>_xlfn.XLOOKUP(G119,'Kraken Trades'!$A$2:$A$28,'Kraken Trades'!$A$2:$A$28,"--",0)</f>
        <v>TON7HH-6E3WM-6ZEO47</v>
      </c>
      <c r="Q119" t="str">
        <f>_xlfn.XLOOKUP(G119,'Kraken Trades'!$A$2:$A$28,'Kraken Trades'!$B$2:$B$28,"--",0)</f>
        <v>ORXKUI-CP7ZJ-BLXVAE</v>
      </c>
      <c r="R119" t="str">
        <f>_xlfn.XLOOKUP(G119,'Kraken Trades'!$A$2:$A$28,'Kraken Trades'!$C$2:$C$28,"--",0)</f>
        <v>XRPGBP</v>
      </c>
      <c r="S119">
        <f>_xlfn.XLOOKUP(G119,'Kraken Trades'!$A$2:$A$28,'Kraken Trades'!$D$2:$D$28,"--",0)</f>
        <v>1.1284722222222223E-3</v>
      </c>
      <c r="T119" t="str">
        <f>_xlfn.XLOOKUP(G119,'Kraken Trades'!$A$2:$A$28,'Kraken Trades'!$E$2:$E$28,"--",0)</f>
        <v>buy</v>
      </c>
      <c r="U119" t="str">
        <f>_xlfn.XLOOKUP(G119,'Kraken Trades'!$A$2:$A$28,'Kraken Trades'!$F$2:$F$28,"--",0)</f>
        <v>market</v>
      </c>
      <c r="V119">
        <f>_xlfn.XLOOKUP(G119,'Kraken Trades'!$A$2:$A$28,'Kraken Trades'!$G$2:$G$28,"--",0)</f>
        <v>0.34325733000000003</v>
      </c>
      <c r="W119">
        <f>_xlfn.XLOOKUP(G119,'Kraken Trades'!$A$2:$A$28,'Kraken Trades'!$H$2:$H$28,"--",0)</f>
        <v>384.45507520000001</v>
      </c>
      <c r="X119">
        <f>_xlfn.XLOOKUP(G119,'Kraken Trades'!$A$2:$A$28,'Kraken Trades'!$I$2:$I$28,"--",0)</f>
        <v>0.99958320000000001</v>
      </c>
      <c r="Y119">
        <f>_xlfn.XLOOKUP(G119,'Kraken Trades'!$A$2:$A$28,'Kraken Trades'!$J$2:$J$28,"--",0)</f>
        <v>1120.02</v>
      </c>
      <c r="Z119">
        <f>_xlfn.XLOOKUP(G119,'Kraken Trades'!$A$2:$A$28,'Kraken Trades'!$K$2:$K$28,"--",0)</f>
        <v>0</v>
      </c>
      <c r="AA119" t="str">
        <f>_xlfn.XLOOKUP(G119,'Kraken Trades'!$A$2:$A$28,'Kraken Trades'!$L$2:$L$28,"--",0)</f>
        <v>initiated</v>
      </c>
      <c r="AB119" t="str">
        <f>_xlfn.XLOOKUP(G119,'Kraken Trades'!$A$2:$A$28,'Kraken Trades'!$M$2:$M$28,"--",0)</f>
        <v>LG3U5T-AJZ2S-NO6NVI,LTZEDC-WI4WD-Y3ZB2I,LLPN6G-VHP36-Q64GZD</v>
      </c>
    </row>
    <row r="120" spans="1:28" x14ac:dyDescent="0.15">
      <c r="A120" s="78">
        <v>45104</v>
      </c>
      <c r="B120" t="s">
        <v>104</v>
      </c>
      <c r="E120" t="str">
        <f>_xlfn.XLOOKUP(D120,'DEST TAGs'!$A$2:$A$5,'DEST TAGs'!$B$2:$B$5,"--",0)</f>
        <v>--</v>
      </c>
      <c r="F120" t="s">
        <v>247</v>
      </c>
      <c r="G120" t="s">
        <v>245</v>
      </c>
      <c r="H120" s="70">
        <v>45060.500694444447</v>
      </c>
      <c r="I120" t="s">
        <v>112</v>
      </c>
      <c r="K120" t="s">
        <v>107</v>
      </c>
      <c r="L120" t="s">
        <v>116</v>
      </c>
      <c r="M120">
        <v>0</v>
      </c>
      <c r="N120">
        <v>124.19</v>
      </c>
      <c r="O120">
        <v>3469.08</v>
      </c>
      <c r="P120" t="str">
        <f>_xlfn.XLOOKUP(G120,'Kraken Trades'!$A$2:$A$28,'Kraken Trades'!$A$2:$A$28,"--",0)</f>
        <v>TON7HH-6E3WM-6ZEO47</v>
      </c>
      <c r="Q120" t="str">
        <f>_xlfn.XLOOKUP(G120,'Kraken Trades'!$A$2:$A$28,'Kraken Trades'!$B$2:$B$28,"--",0)</f>
        <v>ORXKUI-CP7ZJ-BLXVAE</v>
      </c>
      <c r="R120" t="str">
        <f>_xlfn.XLOOKUP(G120,'Kraken Trades'!$A$2:$A$28,'Kraken Trades'!$C$2:$C$28,"--",0)</f>
        <v>XRPGBP</v>
      </c>
      <c r="S120">
        <f>_xlfn.XLOOKUP(G120,'Kraken Trades'!$A$2:$A$28,'Kraken Trades'!$D$2:$D$28,"--",0)</f>
        <v>1.1284722222222223E-3</v>
      </c>
      <c r="T120" t="str">
        <f>_xlfn.XLOOKUP(G120,'Kraken Trades'!$A$2:$A$28,'Kraken Trades'!$E$2:$E$28,"--",0)</f>
        <v>buy</v>
      </c>
      <c r="U120" t="str">
        <f>_xlfn.XLOOKUP(G120,'Kraken Trades'!$A$2:$A$28,'Kraken Trades'!$F$2:$F$28,"--",0)</f>
        <v>market</v>
      </c>
      <c r="V120">
        <f>_xlfn.XLOOKUP(G120,'Kraken Trades'!$A$2:$A$28,'Kraken Trades'!$G$2:$G$28,"--",0)</f>
        <v>0.34325733000000003</v>
      </c>
      <c r="W120">
        <f>_xlfn.XLOOKUP(G120,'Kraken Trades'!$A$2:$A$28,'Kraken Trades'!$H$2:$H$28,"--",0)</f>
        <v>384.45507520000001</v>
      </c>
      <c r="X120">
        <f>_xlfn.XLOOKUP(G120,'Kraken Trades'!$A$2:$A$28,'Kraken Trades'!$I$2:$I$28,"--",0)</f>
        <v>0.99958320000000001</v>
      </c>
      <c r="Y120">
        <f>_xlfn.XLOOKUP(G120,'Kraken Trades'!$A$2:$A$28,'Kraken Trades'!$J$2:$J$28,"--",0)</f>
        <v>1120.02</v>
      </c>
      <c r="Z120">
        <f>_xlfn.XLOOKUP(G120,'Kraken Trades'!$A$2:$A$28,'Kraken Trades'!$K$2:$K$28,"--",0)</f>
        <v>0</v>
      </c>
      <c r="AA120" t="str">
        <f>_xlfn.XLOOKUP(G120,'Kraken Trades'!$A$2:$A$28,'Kraken Trades'!$L$2:$L$28,"--",0)</f>
        <v>initiated</v>
      </c>
      <c r="AB120" t="str">
        <f>_xlfn.XLOOKUP(G120,'Kraken Trades'!$A$2:$A$28,'Kraken Trades'!$M$2:$M$28,"--",0)</f>
        <v>LG3U5T-AJZ2S-NO6NVI,LTZEDC-WI4WD-Y3ZB2I,LLPN6G-VHP36-Q64GZD</v>
      </c>
    </row>
    <row r="121" spans="1:28" x14ac:dyDescent="0.15">
      <c r="A121" s="78">
        <v>45104</v>
      </c>
      <c r="B121" t="s">
        <v>104</v>
      </c>
      <c r="E121" t="str">
        <f>_xlfn.XLOOKUP(D121,'DEST TAGs'!$A$2:$A$5,'DEST TAGs'!$B$2:$B$5,"--",0)</f>
        <v>--</v>
      </c>
      <c r="G121" t="s">
        <v>248</v>
      </c>
      <c r="H121" s="70">
        <v>45060.501388888886</v>
      </c>
      <c r="I121" t="s">
        <v>118</v>
      </c>
      <c r="K121" t="s">
        <v>107</v>
      </c>
      <c r="L121" t="s">
        <v>114</v>
      </c>
      <c r="M121">
        <v>-1119.82</v>
      </c>
      <c r="N121">
        <v>0.2</v>
      </c>
      <c r="P121" t="str">
        <f>_xlfn.XLOOKUP(G121,'Kraken Trades'!$A$2:$A$28,'Kraken Trades'!$A$2:$A$28,"--",0)</f>
        <v>--</v>
      </c>
      <c r="Q121" t="str">
        <f>_xlfn.XLOOKUP(G121,'Kraken Trades'!$A$2:$A$28,'Kraken Trades'!$B$2:$B$28,"--",0)</f>
        <v>--</v>
      </c>
      <c r="R121" t="str">
        <f>_xlfn.XLOOKUP(G121,'Kraken Trades'!$A$2:$A$28,'Kraken Trades'!$C$2:$C$28,"--",0)</f>
        <v>--</v>
      </c>
      <c r="S121" t="str">
        <f>_xlfn.XLOOKUP(G121,'Kraken Trades'!$A$2:$A$28,'Kraken Trades'!$D$2:$D$28,"--",0)</f>
        <v>--</v>
      </c>
      <c r="T121" t="str">
        <f>_xlfn.XLOOKUP(G121,'Kraken Trades'!$A$2:$A$28,'Kraken Trades'!$E$2:$E$28,"--",0)</f>
        <v>--</v>
      </c>
      <c r="U121" t="str">
        <f>_xlfn.XLOOKUP(G121,'Kraken Trades'!$A$2:$A$28,'Kraken Trades'!$F$2:$F$28,"--",0)</f>
        <v>--</v>
      </c>
      <c r="V121" t="str">
        <f>_xlfn.XLOOKUP(G121,'Kraken Trades'!$A$2:$A$28,'Kraken Trades'!$G$2:$G$28,"--",0)</f>
        <v>--</v>
      </c>
      <c r="W121" t="str">
        <f>_xlfn.XLOOKUP(G121,'Kraken Trades'!$A$2:$A$28,'Kraken Trades'!$H$2:$H$28,"--",0)</f>
        <v>--</v>
      </c>
      <c r="X121" t="str">
        <f>_xlfn.XLOOKUP(G121,'Kraken Trades'!$A$2:$A$28,'Kraken Trades'!$I$2:$I$28,"--",0)</f>
        <v>--</v>
      </c>
      <c r="Y121" t="str">
        <f>_xlfn.XLOOKUP(G121,'Kraken Trades'!$A$2:$A$28,'Kraken Trades'!$J$2:$J$28,"--",0)</f>
        <v>--</v>
      </c>
      <c r="Z121" t="str">
        <f>_xlfn.XLOOKUP(G121,'Kraken Trades'!$A$2:$A$28,'Kraken Trades'!$K$2:$K$28,"--",0)</f>
        <v>--</v>
      </c>
      <c r="AA121" t="str">
        <f>_xlfn.XLOOKUP(G121,'Kraken Trades'!$A$2:$A$28,'Kraken Trades'!$L$2:$L$28,"--",0)</f>
        <v>--</v>
      </c>
      <c r="AB121" t="str">
        <f>_xlfn.XLOOKUP(G121,'Kraken Trades'!$A$2:$A$28,'Kraken Trades'!$M$2:$M$28,"--",0)</f>
        <v>--</v>
      </c>
    </row>
    <row r="122" spans="1:28" x14ac:dyDescent="0.15">
      <c r="A122" s="78">
        <v>45104</v>
      </c>
      <c r="B122" t="s">
        <v>104</v>
      </c>
      <c r="C122" s="77" t="s">
        <v>66</v>
      </c>
      <c r="D122">
        <v>518294827</v>
      </c>
      <c r="E122" t="str">
        <f>_xlfn.XLOOKUP(D122,'DEST TAGs'!$A$2:$A$5,'DEST TAGs'!$B$2:$B$5,"--",0)</f>
        <v>Alex Smirnov</v>
      </c>
      <c r="F122" t="s">
        <v>249</v>
      </c>
      <c r="G122" t="s">
        <v>248</v>
      </c>
      <c r="H122" s="70">
        <v>45060.50277777778</v>
      </c>
      <c r="I122" t="s">
        <v>118</v>
      </c>
      <c r="K122" t="s">
        <v>107</v>
      </c>
      <c r="L122" t="s">
        <v>114</v>
      </c>
      <c r="M122">
        <v>-1119.82</v>
      </c>
      <c r="N122">
        <v>0.2</v>
      </c>
      <c r="O122">
        <v>0.64944334000000004</v>
      </c>
      <c r="P122" t="str">
        <f>_xlfn.XLOOKUP(G122,'Kraken Trades'!$A$2:$A$28,'Kraken Trades'!$A$2:$A$28,"--",0)</f>
        <v>--</v>
      </c>
      <c r="Q122" t="str">
        <f>_xlfn.XLOOKUP(G122,'Kraken Trades'!$A$2:$A$28,'Kraken Trades'!$B$2:$B$28,"--",0)</f>
        <v>--</v>
      </c>
      <c r="R122" t="str">
        <f>_xlfn.XLOOKUP(G122,'Kraken Trades'!$A$2:$A$28,'Kraken Trades'!$C$2:$C$28,"--",0)</f>
        <v>--</v>
      </c>
      <c r="S122" t="str">
        <f>_xlfn.XLOOKUP(G122,'Kraken Trades'!$A$2:$A$28,'Kraken Trades'!$D$2:$D$28,"--",0)</f>
        <v>--</v>
      </c>
      <c r="T122" t="str">
        <f>_xlfn.XLOOKUP(G122,'Kraken Trades'!$A$2:$A$28,'Kraken Trades'!$E$2:$E$28,"--",0)</f>
        <v>--</v>
      </c>
      <c r="U122" t="str">
        <f>_xlfn.XLOOKUP(G122,'Kraken Trades'!$A$2:$A$28,'Kraken Trades'!$F$2:$F$28,"--",0)</f>
        <v>--</v>
      </c>
      <c r="V122" t="str">
        <f>_xlfn.XLOOKUP(G122,'Kraken Trades'!$A$2:$A$28,'Kraken Trades'!$G$2:$G$28,"--",0)</f>
        <v>--</v>
      </c>
      <c r="W122" t="str">
        <f>_xlfn.XLOOKUP(G122,'Kraken Trades'!$A$2:$A$28,'Kraken Trades'!$H$2:$H$28,"--",0)</f>
        <v>--</v>
      </c>
      <c r="X122" t="str">
        <f>_xlfn.XLOOKUP(G122,'Kraken Trades'!$A$2:$A$28,'Kraken Trades'!$I$2:$I$28,"--",0)</f>
        <v>--</v>
      </c>
      <c r="Y122" t="str">
        <f>_xlfn.XLOOKUP(G122,'Kraken Trades'!$A$2:$A$28,'Kraken Trades'!$J$2:$J$28,"--",0)</f>
        <v>--</v>
      </c>
      <c r="Z122" t="str">
        <f>_xlfn.XLOOKUP(G122,'Kraken Trades'!$A$2:$A$28,'Kraken Trades'!$K$2:$K$28,"--",0)</f>
        <v>--</v>
      </c>
      <c r="AA122" t="str">
        <f>_xlfn.XLOOKUP(G122,'Kraken Trades'!$A$2:$A$28,'Kraken Trades'!$L$2:$L$28,"--",0)</f>
        <v>--</v>
      </c>
      <c r="AB122" t="str">
        <f>_xlfn.XLOOKUP(G122,'Kraken Trades'!$A$2:$A$28,'Kraken Trades'!$M$2:$M$28,"--",0)</f>
        <v>--</v>
      </c>
    </row>
    <row r="123" spans="1:28" x14ac:dyDescent="0.15">
      <c r="A123" s="78">
        <v>45104</v>
      </c>
      <c r="B123" t="s">
        <v>104</v>
      </c>
      <c r="E123" t="str">
        <f>_xlfn.XLOOKUP(D123,'DEST TAGs'!$A$2:$A$5,'DEST TAGs'!$B$2:$B$5,"--",0)</f>
        <v>--</v>
      </c>
      <c r="G123" t="s">
        <v>250</v>
      </c>
      <c r="H123" s="70">
        <v>45068.354861111111</v>
      </c>
      <c r="I123" t="s">
        <v>106</v>
      </c>
      <c r="K123" t="s">
        <v>107</v>
      </c>
      <c r="L123" t="s">
        <v>108</v>
      </c>
      <c r="M123">
        <v>2500</v>
      </c>
      <c r="N123">
        <v>0</v>
      </c>
      <c r="P123" t="str">
        <f>_xlfn.XLOOKUP(G123,'Kraken Trades'!$A$2:$A$28,'Kraken Trades'!$A$2:$A$28,"--",0)</f>
        <v>--</v>
      </c>
      <c r="Q123" t="str">
        <f>_xlfn.XLOOKUP(G123,'Kraken Trades'!$A$2:$A$28,'Kraken Trades'!$B$2:$B$28,"--",0)</f>
        <v>--</v>
      </c>
      <c r="R123" t="str">
        <f>_xlfn.XLOOKUP(G123,'Kraken Trades'!$A$2:$A$28,'Kraken Trades'!$C$2:$C$28,"--",0)</f>
        <v>--</v>
      </c>
      <c r="S123" t="str">
        <f>_xlfn.XLOOKUP(G123,'Kraken Trades'!$A$2:$A$28,'Kraken Trades'!$D$2:$D$28,"--",0)</f>
        <v>--</v>
      </c>
      <c r="T123" t="str">
        <f>_xlfn.XLOOKUP(G123,'Kraken Trades'!$A$2:$A$28,'Kraken Trades'!$E$2:$E$28,"--",0)</f>
        <v>--</v>
      </c>
      <c r="U123" t="str">
        <f>_xlfn.XLOOKUP(G123,'Kraken Trades'!$A$2:$A$28,'Kraken Trades'!$F$2:$F$28,"--",0)</f>
        <v>--</v>
      </c>
      <c r="V123" t="str">
        <f>_xlfn.XLOOKUP(G123,'Kraken Trades'!$A$2:$A$28,'Kraken Trades'!$G$2:$G$28,"--",0)</f>
        <v>--</v>
      </c>
      <c r="W123" t="str">
        <f>_xlfn.XLOOKUP(G123,'Kraken Trades'!$A$2:$A$28,'Kraken Trades'!$H$2:$H$28,"--",0)</f>
        <v>--</v>
      </c>
      <c r="X123" t="str">
        <f>_xlfn.XLOOKUP(G123,'Kraken Trades'!$A$2:$A$28,'Kraken Trades'!$I$2:$I$28,"--",0)</f>
        <v>--</v>
      </c>
      <c r="Y123" t="str">
        <f>_xlfn.XLOOKUP(G123,'Kraken Trades'!$A$2:$A$28,'Kraken Trades'!$J$2:$J$28,"--",0)</f>
        <v>--</v>
      </c>
      <c r="Z123" t="str">
        <f>_xlfn.XLOOKUP(G123,'Kraken Trades'!$A$2:$A$28,'Kraken Trades'!$K$2:$K$28,"--",0)</f>
        <v>--</v>
      </c>
      <c r="AA123" t="str">
        <f>_xlfn.XLOOKUP(G123,'Kraken Trades'!$A$2:$A$28,'Kraken Trades'!$L$2:$L$28,"--",0)</f>
        <v>--</v>
      </c>
      <c r="AB123" t="str">
        <f>_xlfn.XLOOKUP(G123,'Kraken Trades'!$A$2:$A$28,'Kraken Trades'!$M$2:$M$28,"--",0)</f>
        <v>--</v>
      </c>
    </row>
    <row r="124" spans="1:28" x14ac:dyDescent="0.15">
      <c r="A124" s="78">
        <v>45104</v>
      </c>
      <c r="B124" t="s">
        <v>104</v>
      </c>
      <c r="E124" t="str">
        <f>_xlfn.XLOOKUP(D124,'DEST TAGs'!$A$2:$A$5,'DEST TAGs'!$B$2:$B$5,"--",0)</f>
        <v>--</v>
      </c>
      <c r="F124" t="s">
        <v>251</v>
      </c>
      <c r="G124" t="s">
        <v>250</v>
      </c>
      <c r="H124" s="70">
        <v>45068.372916666667</v>
      </c>
      <c r="I124" t="s">
        <v>106</v>
      </c>
      <c r="K124" t="s">
        <v>107</v>
      </c>
      <c r="L124" t="s">
        <v>108</v>
      </c>
      <c r="M124">
        <v>2500</v>
      </c>
      <c r="N124">
        <v>0</v>
      </c>
      <c r="O124">
        <v>2517.5976000000001</v>
      </c>
      <c r="P124" t="str">
        <f>_xlfn.XLOOKUP(G124,'Kraken Trades'!$A$2:$A$28,'Kraken Trades'!$A$2:$A$28,"--",0)</f>
        <v>--</v>
      </c>
      <c r="Q124" t="str">
        <f>_xlfn.XLOOKUP(G124,'Kraken Trades'!$A$2:$A$28,'Kraken Trades'!$B$2:$B$28,"--",0)</f>
        <v>--</v>
      </c>
      <c r="R124" t="str">
        <f>_xlfn.XLOOKUP(G124,'Kraken Trades'!$A$2:$A$28,'Kraken Trades'!$C$2:$C$28,"--",0)</f>
        <v>--</v>
      </c>
      <c r="S124" t="str">
        <f>_xlfn.XLOOKUP(G124,'Kraken Trades'!$A$2:$A$28,'Kraken Trades'!$D$2:$D$28,"--",0)</f>
        <v>--</v>
      </c>
      <c r="T124" t="str">
        <f>_xlfn.XLOOKUP(G124,'Kraken Trades'!$A$2:$A$28,'Kraken Trades'!$E$2:$E$28,"--",0)</f>
        <v>--</v>
      </c>
      <c r="U124" t="str">
        <f>_xlfn.XLOOKUP(G124,'Kraken Trades'!$A$2:$A$28,'Kraken Trades'!$F$2:$F$28,"--",0)</f>
        <v>--</v>
      </c>
      <c r="V124" t="str">
        <f>_xlfn.XLOOKUP(G124,'Kraken Trades'!$A$2:$A$28,'Kraken Trades'!$G$2:$G$28,"--",0)</f>
        <v>--</v>
      </c>
      <c r="W124" t="str">
        <f>_xlfn.XLOOKUP(G124,'Kraken Trades'!$A$2:$A$28,'Kraken Trades'!$H$2:$H$28,"--",0)</f>
        <v>--</v>
      </c>
      <c r="X124" t="str">
        <f>_xlfn.XLOOKUP(G124,'Kraken Trades'!$A$2:$A$28,'Kraken Trades'!$I$2:$I$28,"--",0)</f>
        <v>--</v>
      </c>
      <c r="Y124" t="str">
        <f>_xlfn.XLOOKUP(G124,'Kraken Trades'!$A$2:$A$28,'Kraken Trades'!$J$2:$J$28,"--",0)</f>
        <v>--</v>
      </c>
      <c r="Z124" t="str">
        <f>_xlfn.XLOOKUP(G124,'Kraken Trades'!$A$2:$A$28,'Kraken Trades'!$K$2:$K$28,"--",0)</f>
        <v>--</v>
      </c>
      <c r="AA124" t="str">
        <f>_xlfn.XLOOKUP(G124,'Kraken Trades'!$A$2:$A$28,'Kraken Trades'!$L$2:$L$28,"--",0)</f>
        <v>--</v>
      </c>
      <c r="AB124" t="str">
        <f>_xlfn.XLOOKUP(G124,'Kraken Trades'!$A$2:$A$28,'Kraken Trades'!$M$2:$M$28,"--",0)</f>
        <v>--</v>
      </c>
    </row>
    <row r="125" spans="1:28" x14ac:dyDescent="0.15">
      <c r="A125" s="78">
        <v>45104</v>
      </c>
      <c r="B125" t="s">
        <v>104</v>
      </c>
      <c r="E125" t="str">
        <f>_xlfn.XLOOKUP(D125,'DEST TAGs'!$A$2:$A$5,'DEST TAGs'!$B$2:$B$5,"--",0)</f>
        <v>--</v>
      </c>
      <c r="F125" t="s">
        <v>252</v>
      </c>
      <c r="G125" t="s">
        <v>253</v>
      </c>
      <c r="H125" s="70">
        <v>45068.38958333333</v>
      </c>
      <c r="I125" t="s">
        <v>112</v>
      </c>
      <c r="K125" t="s">
        <v>107</v>
      </c>
      <c r="L125" t="s">
        <v>108</v>
      </c>
      <c r="M125">
        <v>-738.93370000000004</v>
      </c>
      <c r="N125">
        <v>0</v>
      </c>
      <c r="O125">
        <v>1778.6639</v>
      </c>
      <c r="P125" t="str">
        <f>_xlfn.XLOOKUP(G125,'Kraken Trades'!$A$2:$A$28,'Kraken Trades'!$A$2:$A$28,"--",0)</f>
        <v>TWZOA7-ZN23E-NDIKVX</v>
      </c>
      <c r="Q125" t="str">
        <f>_xlfn.XLOOKUP(G125,'Kraken Trades'!$A$2:$A$28,'Kraken Trades'!$B$2:$B$28,"--",0)</f>
        <v>OGZAU6-2SUCK-4QEURJ</v>
      </c>
      <c r="R125" t="str">
        <f>_xlfn.XLOOKUP(G125,'Kraken Trades'!$A$2:$A$28,'Kraken Trades'!$C$2:$C$28,"--",0)</f>
        <v>XRPGBP</v>
      </c>
      <c r="S125">
        <f>_xlfn.XLOOKUP(G125,'Kraken Trades'!$A$2:$A$28,'Kraken Trades'!$D$2:$D$28,"--",0)</f>
        <v>1.4759259259259258E-2</v>
      </c>
      <c r="T125" t="str">
        <f>_xlfn.XLOOKUP(G125,'Kraken Trades'!$A$2:$A$28,'Kraken Trades'!$E$2:$E$28,"--",0)</f>
        <v>buy</v>
      </c>
      <c r="U125" t="str">
        <f>_xlfn.XLOOKUP(G125,'Kraken Trades'!$A$2:$A$28,'Kraken Trades'!$F$2:$F$28,"--",0)</f>
        <v>market</v>
      </c>
      <c r="V125">
        <f>_xlfn.XLOOKUP(G125,'Kraken Trades'!$A$2:$A$28,'Kraken Trades'!$G$2:$G$28,"--",0)</f>
        <v>0.36946688999999999</v>
      </c>
      <c r="W125">
        <f>_xlfn.XLOOKUP(G125,'Kraken Trades'!$A$2:$A$28,'Kraken Trades'!$H$2:$H$28,"--",0)</f>
        <v>738.93378810000002</v>
      </c>
      <c r="X125">
        <f>_xlfn.XLOOKUP(G125,'Kraken Trades'!$A$2:$A$28,'Kraken Trades'!$I$2:$I$28,"--",0)</f>
        <v>1.9212278599999999</v>
      </c>
      <c r="Y125">
        <f>_xlfn.XLOOKUP(G125,'Kraken Trades'!$A$2:$A$28,'Kraken Trades'!$J$2:$J$28,"--",0)</f>
        <v>2000</v>
      </c>
      <c r="Z125">
        <f>_xlfn.XLOOKUP(G125,'Kraken Trades'!$A$2:$A$28,'Kraken Trades'!$K$2:$K$28,"--",0)</f>
        <v>0</v>
      </c>
      <c r="AA125" t="str">
        <f>_xlfn.XLOOKUP(G125,'Kraken Trades'!$A$2:$A$28,'Kraken Trades'!$L$2:$L$28,"--",0)</f>
        <v>initiated</v>
      </c>
      <c r="AB125" t="str">
        <f>_xlfn.XLOOKUP(G125,'Kraken Trades'!$A$2:$A$28,'Kraken Trades'!$M$2:$M$28,"--",0)</f>
        <v>LHHQUZ-NOHGH-4J5U3B,LZ62TJ-PCHQN-MIZFLV,LT67JQ-UMNPH-4HLFEU</v>
      </c>
    </row>
    <row r="126" spans="1:28" x14ac:dyDescent="0.15">
      <c r="A126" s="78">
        <v>45104</v>
      </c>
      <c r="B126" t="s">
        <v>104</v>
      </c>
      <c r="E126" t="str">
        <f>_xlfn.XLOOKUP(D126,'DEST TAGs'!$A$2:$A$5,'DEST TAGs'!$B$2:$B$5,"--",0)</f>
        <v>--</v>
      </c>
      <c r="F126" t="s">
        <v>254</v>
      </c>
      <c r="G126" t="s">
        <v>253</v>
      </c>
      <c r="H126" s="70">
        <v>45068.38958333333</v>
      </c>
      <c r="I126" t="s">
        <v>112</v>
      </c>
      <c r="K126" t="s">
        <v>107</v>
      </c>
      <c r="L126" t="s">
        <v>114</v>
      </c>
      <c r="M126">
        <v>2000</v>
      </c>
      <c r="N126">
        <v>0</v>
      </c>
      <c r="O126">
        <v>2000.649443</v>
      </c>
      <c r="P126" t="str">
        <f>_xlfn.XLOOKUP(G126,'Kraken Trades'!$A$2:$A$28,'Kraken Trades'!$A$2:$A$28,"--",0)</f>
        <v>TWZOA7-ZN23E-NDIKVX</v>
      </c>
      <c r="Q126" t="str">
        <f>_xlfn.XLOOKUP(G126,'Kraken Trades'!$A$2:$A$28,'Kraken Trades'!$B$2:$B$28,"--",0)</f>
        <v>OGZAU6-2SUCK-4QEURJ</v>
      </c>
      <c r="R126" t="str">
        <f>_xlfn.XLOOKUP(G126,'Kraken Trades'!$A$2:$A$28,'Kraken Trades'!$C$2:$C$28,"--",0)</f>
        <v>XRPGBP</v>
      </c>
      <c r="S126">
        <f>_xlfn.XLOOKUP(G126,'Kraken Trades'!$A$2:$A$28,'Kraken Trades'!$D$2:$D$28,"--",0)</f>
        <v>1.4759259259259258E-2</v>
      </c>
      <c r="T126" t="str">
        <f>_xlfn.XLOOKUP(G126,'Kraken Trades'!$A$2:$A$28,'Kraken Trades'!$E$2:$E$28,"--",0)</f>
        <v>buy</v>
      </c>
      <c r="U126" t="str">
        <f>_xlfn.XLOOKUP(G126,'Kraken Trades'!$A$2:$A$28,'Kraken Trades'!$F$2:$F$28,"--",0)</f>
        <v>market</v>
      </c>
      <c r="V126">
        <f>_xlfn.XLOOKUP(G126,'Kraken Trades'!$A$2:$A$28,'Kraken Trades'!$G$2:$G$28,"--",0)</f>
        <v>0.36946688999999999</v>
      </c>
      <c r="W126">
        <f>_xlfn.XLOOKUP(G126,'Kraken Trades'!$A$2:$A$28,'Kraken Trades'!$H$2:$H$28,"--",0)</f>
        <v>738.93378810000002</v>
      </c>
      <c r="X126">
        <f>_xlfn.XLOOKUP(G126,'Kraken Trades'!$A$2:$A$28,'Kraken Trades'!$I$2:$I$28,"--",0)</f>
        <v>1.9212278599999999</v>
      </c>
      <c r="Y126">
        <f>_xlfn.XLOOKUP(G126,'Kraken Trades'!$A$2:$A$28,'Kraken Trades'!$J$2:$J$28,"--",0)</f>
        <v>2000</v>
      </c>
      <c r="Z126">
        <f>_xlfn.XLOOKUP(G126,'Kraken Trades'!$A$2:$A$28,'Kraken Trades'!$K$2:$K$28,"--",0)</f>
        <v>0</v>
      </c>
      <c r="AA126" t="str">
        <f>_xlfn.XLOOKUP(G126,'Kraken Trades'!$A$2:$A$28,'Kraken Trades'!$L$2:$L$28,"--",0)</f>
        <v>initiated</v>
      </c>
      <c r="AB126" t="str">
        <f>_xlfn.XLOOKUP(G126,'Kraken Trades'!$A$2:$A$28,'Kraken Trades'!$M$2:$M$28,"--",0)</f>
        <v>LHHQUZ-NOHGH-4J5U3B,LZ62TJ-PCHQN-MIZFLV,LT67JQ-UMNPH-4HLFEU</v>
      </c>
    </row>
    <row r="127" spans="1:28" x14ac:dyDescent="0.15">
      <c r="A127" s="78">
        <v>45104</v>
      </c>
      <c r="B127" t="s">
        <v>104</v>
      </c>
      <c r="E127" t="str">
        <f>_xlfn.XLOOKUP(D127,'DEST TAGs'!$A$2:$A$5,'DEST TAGs'!$B$2:$B$5,"--",0)</f>
        <v>--</v>
      </c>
      <c r="F127" t="s">
        <v>255</v>
      </c>
      <c r="G127" t="s">
        <v>253</v>
      </c>
      <c r="H127" s="70">
        <v>45068.38958333333</v>
      </c>
      <c r="I127" t="s">
        <v>112</v>
      </c>
      <c r="K127" t="s">
        <v>107</v>
      </c>
      <c r="L127" t="s">
        <v>116</v>
      </c>
      <c r="M127">
        <v>0</v>
      </c>
      <c r="N127">
        <v>239.06</v>
      </c>
      <c r="O127">
        <v>3230.02</v>
      </c>
      <c r="P127" t="str">
        <f>_xlfn.XLOOKUP(G127,'Kraken Trades'!$A$2:$A$28,'Kraken Trades'!$A$2:$A$28,"--",0)</f>
        <v>TWZOA7-ZN23E-NDIKVX</v>
      </c>
      <c r="Q127" t="str">
        <f>_xlfn.XLOOKUP(G127,'Kraken Trades'!$A$2:$A$28,'Kraken Trades'!$B$2:$B$28,"--",0)</f>
        <v>OGZAU6-2SUCK-4QEURJ</v>
      </c>
      <c r="R127" t="str">
        <f>_xlfn.XLOOKUP(G127,'Kraken Trades'!$A$2:$A$28,'Kraken Trades'!$C$2:$C$28,"--",0)</f>
        <v>XRPGBP</v>
      </c>
      <c r="S127">
        <f>_xlfn.XLOOKUP(G127,'Kraken Trades'!$A$2:$A$28,'Kraken Trades'!$D$2:$D$28,"--",0)</f>
        <v>1.4759259259259258E-2</v>
      </c>
      <c r="T127" t="str">
        <f>_xlfn.XLOOKUP(G127,'Kraken Trades'!$A$2:$A$28,'Kraken Trades'!$E$2:$E$28,"--",0)</f>
        <v>buy</v>
      </c>
      <c r="U127" t="str">
        <f>_xlfn.XLOOKUP(G127,'Kraken Trades'!$A$2:$A$28,'Kraken Trades'!$F$2:$F$28,"--",0)</f>
        <v>market</v>
      </c>
      <c r="V127">
        <f>_xlfn.XLOOKUP(G127,'Kraken Trades'!$A$2:$A$28,'Kraken Trades'!$G$2:$G$28,"--",0)</f>
        <v>0.36946688999999999</v>
      </c>
      <c r="W127">
        <f>_xlfn.XLOOKUP(G127,'Kraken Trades'!$A$2:$A$28,'Kraken Trades'!$H$2:$H$28,"--",0)</f>
        <v>738.93378810000002</v>
      </c>
      <c r="X127">
        <f>_xlfn.XLOOKUP(G127,'Kraken Trades'!$A$2:$A$28,'Kraken Trades'!$I$2:$I$28,"--",0)</f>
        <v>1.9212278599999999</v>
      </c>
      <c r="Y127">
        <f>_xlfn.XLOOKUP(G127,'Kraken Trades'!$A$2:$A$28,'Kraken Trades'!$J$2:$J$28,"--",0)</f>
        <v>2000</v>
      </c>
      <c r="Z127">
        <f>_xlfn.XLOOKUP(G127,'Kraken Trades'!$A$2:$A$28,'Kraken Trades'!$K$2:$K$28,"--",0)</f>
        <v>0</v>
      </c>
      <c r="AA127" t="str">
        <f>_xlfn.XLOOKUP(G127,'Kraken Trades'!$A$2:$A$28,'Kraken Trades'!$L$2:$L$28,"--",0)</f>
        <v>initiated</v>
      </c>
      <c r="AB127" t="str">
        <f>_xlfn.XLOOKUP(G127,'Kraken Trades'!$A$2:$A$28,'Kraken Trades'!$M$2:$M$28,"--",0)</f>
        <v>LHHQUZ-NOHGH-4J5U3B,LZ62TJ-PCHQN-MIZFLV,LT67JQ-UMNPH-4HLFEU</v>
      </c>
    </row>
    <row r="128" spans="1:28" x14ac:dyDescent="0.15">
      <c r="A128" s="78">
        <v>45104</v>
      </c>
      <c r="B128" t="s">
        <v>104</v>
      </c>
      <c r="E128" t="str">
        <f>_xlfn.XLOOKUP(D128,'DEST TAGs'!$A$2:$A$5,'DEST TAGs'!$B$2:$B$5,"--",0)</f>
        <v>--</v>
      </c>
      <c r="G128" t="s">
        <v>256</v>
      </c>
      <c r="H128" s="70">
        <v>45068.390277777777</v>
      </c>
      <c r="I128" t="s">
        <v>118</v>
      </c>
      <c r="K128" t="s">
        <v>107</v>
      </c>
      <c r="L128" t="s">
        <v>114</v>
      </c>
      <c r="M128">
        <v>-2000</v>
      </c>
      <c r="N128">
        <v>0.2</v>
      </c>
      <c r="P128" t="str">
        <f>_xlfn.XLOOKUP(G128,'Kraken Trades'!$A$2:$A$28,'Kraken Trades'!$A$2:$A$28,"--",0)</f>
        <v>--</v>
      </c>
      <c r="Q128" t="str">
        <f>_xlfn.XLOOKUP(G128,'Kraken Trades'!$A$2:$A$28,'Kraken Trades'!$B$2:$B$28,"--",0)</f>
        <v>--</v>
      </c>
      <c r="R128" t="str">
        <f>_xlfn.XLOOKUP(G128,'Kraken Trades'!$A$2:$A$28,'Kraken Trades'!$C$2:$C$28,"--",0)</f>
        <v>--</v>
      </c>
      <c r="S128" t="str">
        <f>_xlfn.XLOOKUP(G128,'Kraken Trades'!$A$2:$A$28,'Kraken Trades'!$D$2:$D$28,"--",0)</f>
        <v>--</v>
      </c>
      <c r="T128" t="str">
        <f>_xlfn.XLOOKUP(G128,'Kraken Trades'!$A$2:$A$28,'Kraken Trades'!$E$2:$E$28,"--",0)</f>
        <v>--</v>
      </c>
      <c r="U128" t="str">
        <f>_xlfn.XLOOKUP(G128,'Kraken Trades'!$A$2:$A$28,'Kraken Trades'!$F$2:$F$28,"--",0)</f>
        <v>--</v>
      </c>
      <c r="V128" t="str">
        <f>_xlfn.XLOOKUP(G128,'Kraken Trades'!$A$2:$A$28,'Kraken Trades'!$G$2:$G$28,"--",0)</f>
        <v>--</v>
      </c>
      <c r="W128" t="str">
        <f>_xlfn.XLOOKUP(G128,'Kraken Trades'!$A$2:$A$28,'Kraken Trades'!$H$2:$H$28,"--",0)</f>
        <v>--</v>
      </c>
      <c r="X128" t="str">
        <f>_xlfn.XLOOKUP(G128,'Kraken Trades'!$A$2:$A$28,'Kraken Trades'!$I$2:$I$28,"--",0)</f>
        <v>--</v>
      </c>
      <c r="Y128" t="str">
        <f>_xlfn.XLOOKUP(G128,'Kraken Trades'!$A$2:$A$28,'Kraken Trades'!$J$2:$J$28,"--",0)</f>
        <v>--</v>
      </c>
      <c r="Z128" t="str">
        <f>_xlfn.XLOOKUP(G128,'Kraken Trades'!$A$2:$A$28,'Kraken Trades'!$K$2:$K$28,"--",0)</f>
        <v>--</v>
      </c>
      <c r="AA128" t="str">
        <f>_xlfn.XLOOKUP(G128,'Kraken Trades'!$A$2:$A$28,'Kraken Trades'!$L$2:$L$28,"--",0)</f>
        <v>--</v>
      </c>
      <c r="AB128" t="str">
        <f>_xlfn.XLOOKUP(G128,'Kraken Trades'!$A$2:$A$28,'Kraken Trades'!$M$2:$M$28,"--",0)</f>
        <v>--</v>
      </c>
    </row>
    <row r="129" spans="1:28" x14ac:dyDescent="0.15">
      <c r="A129" s="78">
        <v>45104</v>
      </c>
      <c r="B129" t="s">
        <v>104</v>
      </c>
      <c r="C129" s="77" t="s">
        <v>67</v>
      </c>
      <c r="D129">
        <v>518294827</v>
      </c>
      <c r="E129" t="str">
        <f>_xlfn.XLOOKUP(D129,'DEST TAGs'!$A$2:$A$5,'DEST TAGs'!$B$2:$B$5,"--",0)</f>
        <v>Alex Smirnov</v>
      </c>
      <c r="F129" t="s">
        <v>257</v>
      </c>
      <c r="G129" t="s">
        <v>256</v>
      </c>
      <c r="H129" s="70">
        <v>45068.390972222223</v>
      </c>
      <c r="I129" t="s">
        <v>118</v>
      </c>
      <c r="K129" t="s">
        <v>107</v>
      </c>
      <c r="L129" t="s">
        <v>114</v>
      </c>
      <c r="M129">
        <v>-2000</v>
      </c>
      <c r="N129">
        <v>0.2</v>
      </c>
      <c r="O129">
        <v>0.44944334000000002</v>
      </c>
      <c r="P129" t="str">
        <f>_xlfn.XLOOKUP(G129,'Kraken Trades'!$A$2:$A$28,'Kraken Trades'!$A$2:$A$28,"--",0)</f>
        <v>--</v>
      </c>
      <c r="Q129" t="str">
        <f>_xlfn.XLOOKUP(G129,'Kraken Trades'!$A$2:$A$28,'Kraken Trades'!$B$2:$B$28,"--",0)</f>
        <v>--</v>
      </c>
      <c r="R129" t="str">
        <f>_xlfn.XLOOKUP(G129,'Kraken Trades'!$A$2:$A$28,'Kraken Trades'!$C$2:$C$28,"--",0)</f>
        <v>--</v>
      </c>
      <c r="S129" t="str">
        <f>_xlfn.XLOOKUP(G129,'Kraken Trades'!$A$2:$A$28,'Kraken Trades'!$D$2:$D$28,"--",0)</f>
        <v>--</v>
      </c>
      <c r="T129" t="str">
        <f>_xlfn.XLOOKUP(G129,'Kraken Trades'!$A$2:$A$28,'Kraken Trades'!$E$2:$E$28,"--",0)</f>
        <v>--</v>
      </c>
      <c r="U129" t="str">
        <f>_xlfn.XLOOKUP(G129,'Kraken Trades'!$A$2:$A$28,'Kraken Trades'!$F$2:$F$28,"--",0)</f>
        <v>--</v>
      </c>
      <c r="V129" t="str">
        <f>_xlfn.XLOOKUP(G129,'Kraken Trades'!$A$2:$A$28,'Kraken Trades'!$G$2:$G$28,"--",0)</f>
        <v>--</v>
      </c>
      <c r="W129" t="str">
        <f>_xlfn.XLOOKUP(G129,'Kraken Trades'!$A$2:$A$28,'Kraken Trades'!$H$2:$H$28,"--",0)</f>
        <v>--</v>
      </c>
      <c r="X129" t="str">
        <f>_xlfn.XLOOKUP(G129,'Kraken Trades'!$A$2:$A$28,'Kraken Trades'!$I$2:$I$28,"--",0)</f>
        <v>--</v>
      </c>
      <c r="Y129" t="str">
        <f>_xlfn.XLOOKUP(G129,'Kraken Trades'!$A$2:$A$28,'Kraken Trades'!$J$2:$J$28,"--",0)</f>
        <v>--</v>
      </c>
      <c r="Z129" t="str">
        <f>_xlfn.XLOOKUP(G129,'Kraken Trades'!$A$2:$A$28,'Kraken Trades'!$K$2:$K$28,"--",0)</f>
        <v>--</v>
      </c>
      <c r="AA129" t="str">
        <f>_xlfn.XLOOKUP(G129,'Kraken Trades'!$A$2:$A$28,'Kraken Trades'!$L$2:$L$28,"--",0)</f>
        <v>--</v>
      </c>
      <c r="AB129" t="str">
        <f>_xlfn.XLOOKUP(G129,'Kraken Trades'!$A$2:$A$28,'Kraken Trades'!$M$2:$M$28,"--",0)</f>
        <v>--</v>
      </c>
    </row>
    <row r="130" spans="1:28" x14ac:dyDescent="0.15">
      <c r="A130" s="78">
        <v>45104</v>
      </c>
      <c r="B130" t="s">
        <v>104</v>
      </c>
      <c r="E130" t="str">
        <f>_xlfn.XLOOKUP(D130,'DEST TAGs'!$A$2:$A$5,'DEST TAGs'!$B$2:$B$5,"--",0)</f>
        <v>--</v>
      </c>
      <c r="G130" t="s">
        <v>258</v>
      </c>
      <c r="H130" s="70">
        <v>45068.609722222223</v>
      </c>
      <c r="I130" t="s">
        <v>106</v>
      </c>
      <c r="K130" t="s">
        <v>107</v>
      </c>
      <c r="L130" t="s">
        <v>108</v>
      </c>
      <c r="M130">
        <v>500</v>
      </c>
      <c r="N130">
        <v>0</v>
      </c>
      <c r="P130" t="str">
        <f>_xlfn.XLOOKUP(G130,'Kraken Trades'!$A$2:$A$28,'Kraken Trades'!$A$2:$A$28,"--",0)</f>
        <v>--</v>
      </c>
      <c r="Q130" t="str">
        <f>_xlfn.XLOOKUP(G130,'Kraken Trades'!$A$2:$A$28,'Kraken Trades'!$B$2:$B$28,"--",0)</f>
        <v>--</v>
      </c>
      <c r="R130" t="str">
        <f>_xlfn.XLOOKUP(G130,'Kraken Trades'!$A$2:$A$28,'Kraken Trades'!$C$2:$C$28,"--",0)</f>
        <v>--</v>
      </c>
      <c r="S130" t="str">
        <f>_xlfn.XLOOKUP(G130,'Kraken Trades'!$A$2:$A$28,'Kraken Trades'!$D$2:$D$28,"--",0)</f>
        <v>--</v>
      </c>
      <c r="T130" t="str">
        <f>_xlfn.XLOOKUP(G130,'Kraken Trades'!$A$2:$A$28,'Kraken Trades'!$E$2:$E$28,"--",0)</f>
        <v>--</v>
      </c>
      <c r="U130" t="str">
        <f>_xlfn.XLOOKUP(G130,'Kraken Trades'!$A$2:$A$28,'Kraken Trades'!$F$2:$F$28,"--",0)</f>
        <v>--</v>
      </c>
      <c r="V130" t="str">
        <f>_xlfn.XLOOKUP(G130,'Kraken Trades'!$A$2:$A$28,'Kraken Trades'!$G$2:$G$28,"--",0)</f>
        <v>--</v>
      </c>
      <c r="W130" t="str">
        <f>_xlfn.XLOOKUP(G130,'Kraken Trades'!$A$2:$A$28,'Kraken Trades'!$H$2:$H$28,"--",0)</f>
        <v>--</v>
      </c>
      <c r="X130" t="str">
        <f>_xlfn.XLOOKUP(G130,'Kraken Trades'!$A$2:$A$28,'Kraken Trades'!$I$2:$I$28,"--",0)</f>
        <v>--</v>
      </c>
      <c r="Y130" t="str">
        <f>_xlfn.XLOOKUP(G130,'Kraken Trades'!$A$2:$A$28,'Kraken Trades'!$J$2:$J$28,"--",0)</f>
        <v>--</v>
      </c>
      <c r="Z130" t="str">
        <f>_xlfn.XLOOKUP(G130,'Kraken Trades'!$A$2:$A$28,'Kraken Trades'!$K$2:$K$28,"--",0)</f>
        <v>--</v>
      </c>
      <c r="AA130" t="str">
        <f>_xlfn.XLOOKUP(G130,'Kraken Trades'!$A$2:$A$28,'Kraken Trades'!$L$2:$L$28,"--",0)</f>
        <v>--</v>
      </c>
      <c r="AB130" t="str">
        <f>_xlfn.XLOOKUP(G130,'Kraken Trades'!$A$2:$A$28,'Kraken Trades'!$M$2:$M$28,"--",0)</f>
        <v>--</v>
      </c>
    </row>
    <row r="131" spans="1:28" x14ac:dyDescent="0.15">
      <c r="A131" s="78">
        <v>45104</v>
      </c>
      <c r="B131" t="s">
        <v>104</v>
      </c>
      <c r="E131" t="str">
        <f>_xlfn.XLOOKUP(D131,'DEST TAGs'!$A$2:$A$5,'DEST TAGs'!$B$2:$B$5,"--",0)</f>
        <v>--</v>
      </c>
      <c r="F131" t="s">
        <v>259</v>
      </c>
      <c r="G131" t="s">
        <v>258</v>
      </c>
      <c r="H131" s="70">
        <v>45068.637499999997</v>
      </c>
      <c r="I131" t="s">
        <v>106</v>
      </c>
      <c r="K131" t="s">
        <v>107</v>
      </c>
      <c r="L131" t="s">
        <v>108</v>
      </c>
      <c r="M131">
        <v>500</v>
      </c>
      <c r="N131">
        <v>0</v>
      </c>
      <c r="O131">
        <v>2278.6639</v>
      </c>
      <c r="P131" t="str">
        <f>_xlfn.XLOOKUP(G131,'Kraken Trades'!$A$2:$A$28,'Kraken Trades'!$A$2:$A$28,"--",0)</f>
        <v>--</v>
      </c>
      <c r="Q131" t="str">
        <f>_xlfn.XLOOKUP(G131,'Kraken Trades'!$A$2:$A$28,'Kraken Trades'!$B$2:$B$28,"--",0)</f>
        <v>--</v>
      </c>
      <c r="R131" t="str">
        <f>_xlfn.XLOOKUP(G131,'Kraken Trades'!$A$2:$A$28,'Kraken Trades'!$C$2:$C$28,"--",0)</f>
        <v>--</v>
      </c>
      <c r="S131" t="str">
        <f>_xlfn.XLOOKUP(G131,'Kraken Trades'!$A$2:$A$28,'Kraken Trades'!$D$2:$D$28,"--",0)</f>
        <v>--</v>
      </c>
      <c r="T131" t="str">
        <f>_xlfn.XLOOKUP(G131,'Kraken Trades'!$A$2:$A$28,'Kraken Trades'!$E$2:$E$28,"--",0)</f>
        <v>--</v>
      </c>
      <c r="U131" t="str">
        <f>_xlfn.XLOOKUP(G131,'Kraken Trades'!$A$2:$A$28,'Kraken Trades'!$F$2:$F$28,"--",0)</f>
        <v>--</v>
      </c>
      <c r="V131" t="str">
        <f>_xlfn.XLOOKUP(G131,'Kraken Trades'!$A$2:$A$28,'Kraken Trades'!$G$2:$G$28,"--",0)</f>
        <v>--</v>
      </c>
      <c r="W131" t="str">
        <f>_xlfn.XLOOKUP(G131,'Kraken Trades'!$A$2:$A$28,'Kraken Trades'!$H$2:$H$28,"--",0)</f>
        <v>--</v>
      </c>
      <c r="X131" t="str">
        <f>_xlfn.XLOOKUP(G131,'Kraken Trades'!$A$2:$A$28,'Kraken Trades'!$I$2:$I$28,"--",0)</f>
        <v>--</v>
      </c>
      <c r="Y131" t="str">
        <f>_xlfn.XLOOKUP(G131,'Kraken Trades'!$A$2:$A$28,'Kraken Trades'!$J$2:$J$28,"--",0)</f>
        <v>--</v>
      </c>
      <c r="Z131" t="str">
        <f>_xlfn.XLOOKUP(G131,'Kraken Trades'!$A$2:$A$28,'Kraken Trades'!$K$2:$K$28,"--",0)</f>
        <v>--</v>
      </c>
      <c r="AA131" t="str">
        <f>_xlfn.XLOOKUP(G131,'Kraken Trades'!$A$2:$A$28,'Kraken Trades'!$L$2:$L$28,"--",0)</f>
        <v>--</v>
      </c>
      <c r="AB131" t="str">
        <f>_xlfn.XLOOKUP(G131,'Kraken Trades'!$A$2:$A$28,'Kraken Trades'!$M$2:$M$28,"--",0)</f>
        <v>--</v>
      </c>
    </row>
    <row r="132" spans="1:28" x14ac:dyDescent="0.15">
      <c r="A132" s="78">
        <v>45104</v>
      </c>
      <c r="B132" t="s">
        <v>104</v>
      </c>
      <c r="E132" t="str">
        <f>_xlfn.XLOOKUP(D132,'DEST TAGs'!$A$2:$A$5,'DEST TAGs'!$B$2:$B$5,"--",0)</f>
        <v>--</v>
      </c>
      <c r="F132" t="s">
        <v>260</v>
      </c>
      <c r="G132" t="s">
        <v>261</v>
      </c>
      <c r="H132" s="70">
        <v>45068.682638888888</v>
      </c>
      <c r="I132" t="s">
        <v>112</v>
      </c>
      <c r="K132" t="s">
        <v>107</v>
      </c>
      <c r="L132" t="s">
        <v>108</v>
      </c>
      <c r="M132">
        <v>-2122.9856</v>
      </c>
      <c r="N132">
        <v>0</v>
      </c>
      <c r="O132">
        <v>155.67830000000001</v>
      </c>
      <c r="P132" t="str">
        <f>_xlfn.XLOOKUP(G132,'Kraken Trades'!$A$2:$A$28,'Kraken Trades'!$A$2:$A$28,"--",0)</f>
        <v>TA24UD-GTEBY-5LQGOT</v>
      </c>
      <c r="Q132" t="str">
        <f>_xlfn.XLOOKUP(G132,'Kraken Trades'!$A$2:$A$28,'Kraken Trades'!$B$2:$B$28,"--",0)</f>
        <v>OQM7ZF-I7YFD-AP7SUV</v>
      </c>
      <c r="R132" t="str">
        <f>_xlfn.XLOOKUP(G132,'Kraken Trades'!$A$2:$A$28,'Kraken Trades'!$C$2:$C$28,"--",0)</f>
        <v>XRPGBP</v>
      </c>
      <c r="S132">
        <f>_xlfn.XLOOKUP(G132,'Kraken Trades'!$A$2:$A$28,'Kraken Trades'!$D$2:$D$28,"--",0)</f>
        <v>1.651388888888889E-2</v>
      </c>
      <c r="T132" t="str">
        <f>_xlfn.XLOOKUP(G132,'Kraken Trades'!$A$2:$A$28,'Kraken Trades'!$E$2:$E$28,"--",0)</f>
        <v>buy</v>
      </c>
      <c r="U132" t="str">
        <f>_xlfn.XLOOKUP(G132,'Kraken Trades'!$A$2:$A$28,'Kraken Trades'!$F$2:$F$28,"--",0)</f>
        <v>market</v>
      </c>
      <c r="V132">
        <f>_xlfn.XLOOKUP(G132,'Kraken Trades'!$A$2:$A$28,'Kraken Trades'!$G$2:$G$28,"--",0)</f>
        <v>0.36729856</v>
      </c>
      <c r="W132">
        <f>_xlfn.XLOOKUP(G132,'Kraken Trades'!$A$2:$A$28,'Kraken Trades'!$H$2:$H$28,"--",0)</f>
        <v>2122.9856730000001</v>
      </c>
      <c r="X132">
        <f>_xlfn.XLOOKUP(G132,'Kraken Trades'!$A$2:$A$28,'Kraken Trades'!$I$2:$I$28,"--",0)</f>
        <v>5.5197627499999999</v>
      </c>
      <c r="Y132">
        <f>_xlfn.XLOOKUP(G132,'Kraken Trades'!$A$2:$A$28,'Kraken Trades'!$J$2:$J$28,"--",0)</f>
        <v>5780</v>
      </c>
      <c r="Z132">
        <f>_xlfn.XLOOKUP(G132,'Kraken Trades'!$A$2:$A$28,'Kraken Trades'!$K$2:$K$28,"--",0)</f>
        <v>0</v>
      </c>
      <c r="AA132" t="str">
        <f>_xlfn.XLOOKUP(G132,'Kraken Trades'!$A$2:$A$28,'Kraken Trades'!$L$2:$L$28,"--",0)</f>
        <v>initiated</v>
      </c>
      <c r="AB132" t="str">
        <f>_xlfn.XLOOKUP(G132,'Kraken Trades'!$A$2:$A$28,'Kraken Trades'!$M$2:$M$28,"--",0)</f>
        <v>LJJ6JA-635BQ-2TWLEN,LFGGGM-2EAAM-JNGFS5,LNEC6I-6CRF6-762MEZ</v>
      </c>
    </row>
    <row r="133" spans="1:28" x14ac:dyDescent="0.15">
      <c r="A133" s="78">
        <v>45104</v>
      </c>
      <c r="B133" t="s">
        <v>104</v>
      </c>
      <c r="E133" t="str">
        <f>_xlfn.XLOOKUP(D133,'DEST TAGs'!$A$2:$A$5,'DEST TAGs'!$B$2:$B$5,"--",0)</f>
        <v>--</v>
      </c>
      <c r="F133" t="s">
        <v>262</v>
      </c>
      <c r="G133" t="s">
        <v>261</v>
      </c>
      <c r="H133" s="70">
        <v>45068.682638888888</v>
      </c>
      <c r="I133" t="s">
        <v>112</v>
      </c>
      <c r="K133" t="s">
        <v>107</v>
      </c>
      <c r="L133" t="s">
        <v>114</v>
      </c>
      <c r="M133">
        <v>5780</v>
      </c>
      <c r="N133">
        <v>0</v>
      </c>
      <c r="O133">
        <v>5780.4494430000004</v>
      </c>
      <c r="P133" t="str">
        <f>_xlfn.XLOOKUP(G133,'Kraken Trades'!$A$2:$A$28,'Kraken Trades'!$A$2:$A$28,"--",0)</f>
        <v>TA24UD-GTEBY-5LQGOT</v>
      </c>
      <c r="Q133" t="str">
        <f>_xlfn.XLOOKUP(G133,'Kraken Trades'!$A$2:$A$28,'Kraken Trades'!$B$2:$B$28,"--",0)</f>
        <v>OQM7ZF-I7YFD-AP7SUV</v>
      </c>
      <c r="R133" t="str">
        <f>_xlfn.XLOOKUP(G133,'Kraken Trades'!$A$2:$A$28,'Kraken Trades'!$C$2:$C$28,"--",0)</f>
        <v>XRPGBP</v>
      </c>
      <c r="S133">
        <f>_xlfn.XLOOKUP(G133,'Kraken Trades'!$A$2:$A$28,'Kraken Trades'!$D$2:$D$28,"--",0)</f>
        <v>1.651388888888889E-2</v>
      </c>
      <c r="T133" t="str">
        <f>_xlfn.XLOOKUP(G133,'Kraken Trades'!$A$2:$A$28,'Kraken Trades'!$E$2:$E$28,"--",0)</f>
        <v>buy</v>
      </c>
      <c r="U133" t="str">
        <f>_xlfn.XLOOKUP(G133,'Kraken Trades'!$A$2:$A$28,'Kraken Trades'!$F$2:$F$28,"--",0)</f>
        <v>market</v>
      </c>
      <c r="V133">
        <f>_xlfn.XLOOKUP(G133,'Kraken Trades'!$A$2:$A$28,'Kraken Trades'!$G$2:$G$28,"--",0)</f>
        <v>0.36729856</v>
      </c>
      <c r="W133">
        <f>_xlfn.XLOOKUP(G133,'Kraken Trades'!$A$2:$A$28,'Kraken Trades'!$H$2:$H$28,"--",0)</f>
        <v>2122.9856730000001</v>
      </c>
      <c r="X133">
        <f>_xlfn.XLOOKUP(G133,'Kraken Trades'!$A$2:$A$28,'Kraken Trades'!$I$2:$I$28,"--",0)</f>
        <v>5.5197627499999999</v>
      </c>
      <c r="Y133">
        <f>_xlfn.XLOOKUP(G133,'Kraken Trades'!$A$2:$A$28,'Kraken Trades'!$J$2:$J$28,"--",0)</f>
        <v>5780</v>
      </c>
      <c r="Z133">
        <f>_xlfn.XLOOKUP(G133,'Kraken Trades'!$A$2:$A$28,'Kraken Trades'!$K$2:$K$28,"--",0)</f>
        <v>0</v>
      </c>
      <c r="AA133" t="str">
        <f>_xlfn.XLOOKUP(G133,'Kraken Trades'!$A$2:$A$28,'Kraken Trades'!$L$2:$L$28,"--",0)</f>
        <v>initiated</v>
      </c>
      <c r="AB133" t="str">
        <f>_xlfn.XLOOKUP(G133,'Kraken Trades'!$A$2:$A$28,'Kraken Trades'!$M$2:$M$28,"--",0)</f>
        <v>LJJ6JA-635BQ-2TWLEN,LFGGGM-2EAAM-JNGFS5,LNEC6I-6CRF6-762MEZ</v>
      </c>
    </row>
    <row r="134" spans="1:28" x14ac:dyDescent="0.15">
      <c r="A134" s="78">
        <v>45104</v>
      </c>
      <c r="B134" t="s">
        <v>104</v>
      </c>
      <c r="E134" t="str">
        <f>_xlfn.XLOOKUP(D134,'DEST TAGs'!$A$2:$A$5,'DEST TAGs'!$B$2:$B$5,"--",0)</f>
        <v>--</v>
      </c>
      <c r="F134" t="s">
        <v>263</v>
      </c>
      <c r="G134" t="s">
        <v>261</v>
      </c>
      <c r="H134" s="70">
        <v>45068.682638888888</v>
      </c>
      <c r="I134" t="s">
        <v>112</v>
      </c>
      <c r="K134" t="s">
        <v>107</v>
      </c>
      <c r="L134" t="s">
        <v>116</v>
      </c>
      <c r="M134">
        <v>0</v>
      </c>
      <c r="N134">
        <v>685.83</v>
      </c>
      <c r="O134">
        <v>2544.19</v>
      </c>
      <c r="P134" t="str">
        <f>_xlfn.XLOOKUP(G134,'Kraken Trades'!$A$2:$A$28,'Kraken Trades'!$A$2:$A$28,"--",0)</f>
        <v>TA24UD-GTEBY-5LQGOT</v>
      </c>
      <c r="Q134" t="str">
        <f>_xlfn.XLOOKUP(G134,'Kraken Trades'!$A$2:$A$28,'Kraken Trades'!$B$2:$B$28,"--",0)</f>
        <v>OQM7ZF-I7YFD-AP7SUV</v>
      </c>
      <c r="R134" t="str">
        <f>_xlfn.XLOOKUP(G134,'Kraken Trades'!$A$2:$A$28,'Kraken Trades'!$C$2:$C$28,"--",0)</f>
        <v>XRPGBP</v>
      </c>
      <c r="S134">
        <f>_xlfn.XLOOKUP(G134,'Kraken Trades'!$A$2:$A$28,'Kraken Trades'!$D$2:$D$28,"--",0)</f>
        <v>1.651388888888889E-2</v>
      </c>
      <c r="T134" t="str">
        <f>_xlfn.XLOOKUP(G134,'Kraken Trades'!$A$2:$A$28,'Kraken Trades'!$E$2:$E$28,"--",0)</f>
        <v>buy</v>
      </c>
      <c r="U134" t="str">
        <f>_xlfn.XLOOKUP(G134,'Kraken Trades'!$A$2:$A$28,'Kraken Trades'!$F$2:$F$28,"--",0)</f>
        <v>market</v>
      </c>
      <c r="V134">
        <f>_xlfn.XLOOKUP(G134,'Kraken Trades'!$A$2:$A$28,'Kraken Trades'!$G$2:$G$28,"--",0)</f>
        <v>0.36729856</v>
      </c>
      <c r="W134">
        <f>_xlfn.XLOOKUP(G134,'Kraken Trades'!$A$2:$A$28,'Kraken Trades'!$H$2:$H$28,"--",0)</f>
        <v>2122.9856730000001</v>
      </c>
      <c r="X134">
        <f>_xlfn.XLOOKUP(G134,'Kraken Trades'!$A$2:$A$28,'Kraken Trades'!$I$2:$I$28,"--",0)</f>
        <v>5.5197627499999999</v>
      </c>
      <c r="Y134">
        <f>_xlfn.XLOOKUP(G134,'Kraken Trades'!$A$2:$A$28,'Kraken Trades'!$J$2:$J$28,"--",0)</f>
        <v>5780</v>
      </c>
      <c r="Z134">
        <f>_xlfn.XLOOKUP(G134,'Kraken Trades'!$A$2:$A$28,'Kraken Trades'!$K$2:$K$28,"--",0)</f>
        <v>0</v>
      </c>
      <c r="AA134" t="str">
        <f>_xlfn.XLOOKUP(G134,'Kraken Trades'!$A$2:$A$28,'Kraken Trades'!$L$2:$L$28,"--",0)</f>
        <v>initiated</v>
      </c>
      <c r="AB134" t="str">
        <f>_xlfn.XLOOKUP(G134,'Kraken Trades'!$A$2:$A$28,'Kraken Trades'!$M$2:$M$28,"--",0)</f>
        <v>LJJ6JA-635BQ-2TWLEN,LFGGGM-2EAAM-JNGFS5,LNEC6I-6CRF6-762MEZ</v>
      </c>
    </row>
    <row r="135" spans="1:28" x14ac:dyDescent="0.15">
      <c r="A135" s="78">
        <v>45104</v>
      </c>
      <c r="B135" t="s">
        <v>104</v>
      </c>
      <c r="E135" t="str">
        <f>_xlfn.XLOOKUP(D135,'DEST TAGs'!$A$2:$A$5,'DEST TAGs'!$B$2:$B$5,"--",0)</f>
        <v>--</v>
      </c>
      <c r="G135" t="s">
        <v>264</v>
      </c>
      <c r="H135" s="70">
        <v>45068.683333333334</v>
      </c>
      <c r="I135" t="s">
        <v>118</v>
      </c>
      <c r="K135" t="s">
        <v>107</v>
      </c>
      <c r="L135" t="s">
        <v>114</v>
      </c>
      <c r="M135">
        <v>-5780</v>
      </c>
      <c r="N135">
        <v>0.2</v>
      </c>
      <c r="P135" t="str">
        <f>_xlfn.XLOOKUP(G135,'Kraken Trades'!$A$2:$A$28,'Kraken Trades'!$A$2:$A$28,"--",0)</f>
        <v>--</v>
      </c>
      <c r="Q135" t="str">
        <f>_xlfn.XLOOKUP(G135,'Kraken Trades'!$A$2:$A$28,'Kraken Trades'!$B$2:$B$28,"--",0)</f>
        <v>--</v>
      </c>
      <c r="R135" t="str">
        <f>_xlfn.XLOOKUP(G135,'Kraken Trades'!$A$2:$A$28,'Kraken Trades'!$C$2:$C$28,"--",0)</f>
        <v>--</v>
      </c>
      <c r="S135" t="str">
        <f>_xlfn.XLOOKUP(G135,'Kraken Trades'!$A$2:$A$28,'Kraken Trades'!$D$2:$D$28,"--",0)</f>
        <v>--</v>
      </c>
      <c r="T135" t="str">
        <f>_xlfn.XLOOKUP(G135,'Kraken Trades'!$A$2:$A$28,'Kraken Trades'!$E$2:$E$28,"--",0)</f>
        <v>--</v>
      </c>
      <c r="U135" t="str">
        <f>_xlfn.XLOOKUP(G135,'Kraken Trades'!$A$2:$A$28,'Kraken Trades'!$F$2:$F$28,"--",0)</f>
        <v>--</v>
      </c>
      <c r="V135" t="str">
        <f>_xlfn.XLOOKUP(G135,'Kraken Trades'!$A$2:$A$28,'Kraken Trades'!$G$2:$G$28,"--",0)</f>
        <v>--</v>
      </c>
      <c r="W135" t="str">
        <f>_xlfn.XLOOKUP(G135,'Kraken Trades'!$A$2:$A$28,'Kraken Trades'!$H$2:$H$28,"--",0)</f>
        <v>--</v>
      </c>
      <c r="X135" t="str">
        <f>_xlfn.XLOOKUP(G135,'Kraken Trades'!$A$2:$A$28,'Kraken Trades'!$I$2:$I$28,"--",0)</f>
        <v>--</v>
      </c>
      <c r="Y135" t="str">
        <f>_xlfn.XLOOKUP(G135,'Kraken Trades'!$A$2:$A$28,'Kraken Trades'!$J$2:$J$28,"--",0)</f>
        <v>--</v>
      </c>
      <c r="Z135" t="str">
        <f>_xlfn.XLOOKUP(G135,'Kraken Trades'!$A$2:$A$28,'Kraken Trades'!$K$2:$K$28,"--",0)</f>
        <v>--</v>
      </c>
      <c r="AA135" t="str">
        <f>_xlfn.XLOOKUP(G135,'Kraken Trades'!$A$2:$A$28,'Kraken Trades'!$L$2:$L$28,"--",0)</f>
        <v>--</v>
      </c>
      <c r="AB135" t="str">
        <f>_xlfn.XLOOKUP(G135,'Kraken Trades'!$A$2:$A$28,'Kraken Trades'!$M$2:$M$28,"--",0)</f>
        <v>--</v>
      </c>
    </row>
    <row r="136" spans="1:28" x14ac:dyDescent="0.15">
      <c r="A136" s="78">
        <v>45104</v>
      </c>
      <c r="B136" t="s">
        <v>104</v>
      </c>
      <c r="C136" s="77" t="s">
        <v>68</v>
      </c>
      <c r="D136">
        <v>547786843</v>
      </c>
      <c r="E136" t="str">
        <f>_xlfn.XLOOKUP(D136,'DEST TAGs'!$A$2:$A$5,'DEST TAGs'!$B$2:$B$5,"--",0)</f>
        <v>Aleksey Trofimov</v>
      </c>
      <c r="F136" t="s">
        <v>265</v>
      </c>
      <c r="G136" t="s">
        <v>264</v>
      </c>
      <c r="H136" s="70">
        <v>45068.68472222222</v>
      </c>
      <c r="I136" t="s">
        <v>118</v>
      </c>
      <c r="K136" t="s">
        <v>107</v>
      </c>
      <c r="L136" t="s">
        <v>114</v>
      </c>
      <c r="M136">
        <v>-5780</v>
      </c>
      <c r="N136">
        <v>0.2</v>
      </c>
      <c r="O136">
        <v>0.24944334000000001</v>
      </c>
      <c r="P136" t="str">
        <f>_xlfn.XLOOKUP(G136,'Kraken Trades'!$A$2:$A$28,'Kraken Trades'!$A$2:$A$28,"--",0)</f>
        <v>--</v>
      </c>
      <c r="Q136" t="str">
        <f>_xlfn.XLOOKUP(G136,'Kraken Trades'!$A$2:$A$28,'Kraken Trades'!$B$2:$B$28,"--",0)</f>
        <v>--</v>
      </c>
      <c r="R136" t="str">
        <f>_xlfn.XLOOKUP(G136,'Kraken Trades'!$A$2:$A$28,'Kraken Trades'!$C$2:$C$28,"--",0)</f>
        <v>--</v>
      </c>
      <c r="S136" t="str">
        <f>_xlfn.XLOOKUP(G136,'Kraken Trades'!$A$2:$A$28,'Kraken Trades'!$D$2:$D$28,"--",0)</f>
        <v>--</v>
      </c>
      <c r="T136" t="str">
        <f>_xlfn.XLOOKUP(G136,'Kraken Trades'!$A$2:$A$28,'Kraken Trades'!$E$2:$E$28,"--",0)</f>
        <v>--</v>
      </c>
      <c r="U136" t="str">
        <f>_xlfn.XLOOKUP(G136,'Kraken Trades'!$A$2:$A$28,'Kraken Trades'!$F$2:$F$28,"--",0)</f>
        <v>--</v>
      </c>
      <c r="V136" t="str">
        <f>_xlfn.XLOOKUP(G136,'Kraken Trades'!$A$2:$A$28,'Kraken Trades'!$G$2:$G$28,"--",0)</f>
        <v>--</v>
      </c>
      <c r="W136" t="str">
        <f>_xlfn.XLOOKUP(G136,'Kraken Trades'!$A$2:$A$28,'Kraken Trades'!$H$2:$H$28,"--",0)</f>
        <v>--</v>
      </c>
      <c r="X136" t="str">
        <f>_xlfn.XLOOKUP(G136,'Kraken Trades'!$A$2:$A$28,'Kraken Trades'!$I$2:$I$28,"--",0)</f>
        <v>--</v>
      </c>
      <c r="Y136" t="str">
        <f>_xlfn.XLOOKUP(G136,'Kraken Trades'!$A$2:$A$28,'Kraken Trades'!$J$2:$J$28,"--",0)</f>
        <v>--</v>
      </c>
      <c r="Z136" t="str">
        <f>_xlfn.XLOOKUP(G136,'Kraken Trades'!$A$2:$A$28,'Kraken Trades'!$K$2:$K$28,"--",0)</f>
        <v>--</v>
      </c>
      <c r="AA136" t="str">
        <f>_xlfn.XLOOKUP(G136,'Kraken Trades'!$A$2:$A$28,'Kraken Trades'!$L$2:$L$28,"--",0)</f>
        <v>--</v>
      </c>
      <c r="AB136" t="str">
        <f>_xlfn.XLOOKUP(G136,'Kraken Trades'!$A$2:$A$28,'Kraken Trades'!$M$2:$M$28,"--",0)</f>
        <v>--</v>
      </c>
    </row>
    <row r="137" spans="1:28" x14ac:dyDescent="0.15">
      <c r="A137" s="78">
        <v>45104</v>
      </c>
      <c r="B137" t="s">
        <v>104</v>
      </c>
      <c r="E137" t="str">
        <f>_xlfn.XLOOKUP(D137,'DEST TAGs'!$A$2:$A$5,'DEST TAGs'!$B$2:$B$5,"--",0)</f>
        <v>--</v>
      </c>
      <c r="G137" t="s">
        <v>266</v>
      </c>
      <c r="H137" s="70">
        <v>45070.293055555558</v>
      </c>
      <c r="I137" t="s">
        <v>106</v>
      </c>
      <c r="K137" t="s">
        <v>107</v>
      </c>
      <c r="L137" t="s">
        <v>108</v>
      </c>
      <c r="M137">
        <v>500</v>
      </c>
      <c r="N137">
        <v>0</v>
      </c>
      <c r="P137" t="str">
        <f>_xlfn.XLOOKUP(G137,'Kraken Trades'!$A$2:$A$28,'Kraken Trades'!$A$2:$A$28,"--",0)</f>
        <v>--</v>
      </c>
      <c r="Q137" t="str">
        <f>_xlfn.XLOOKUP(G137,'Kraken Trades'!$A$2:$A$28,'Kraken Trades'!$B$2:$B$28,"--",0)</f>
        <v>--</v>
      </c>
      <c r="R137" t="str">
        <f>_xlfn.XLOOKUP(G137,'Kraken Trades'!$A$2:$A$28,'Kraken Trades'!$C$2:$C$28,"--",0)</f>
        <v>--</v>
      </c>
      <c r="S137" t="str">
        <f>_xlfn.XLOOKUP(G137,'Kraken Trades'!$A$2:$A$28,'Kraken Trades'!$D$2:$D$28,"--",0)</f>
        <v>--</v>
      </c>
      <c r="T137" t="str">
        <f>_xlfn.XLOOKUP(G137,'Kraken Trades'!$A$2:$A$28,'Kraken Trades'!$E$2:$E$28,"--",0)</f>
        <v>--</v>
      </c>
      <c r="U137" t="str">
        <f>_xlfn.XLOOKUP(G137,'Kraken Trades'!$A$2:$A$28,'Kraken Trades'!$F$2:$F$28,"--",0)</f>
        <v>--</v>
      </c>
      <c r="V137" t="str">
        <f>_xlfn.XLOOKUP(G137,'Kraken Trades'!$A$2:$A$28,'Kraken Trades'!$G$2:$G$28,"--",0)</f>
        <v>--</v>
      </c>
      <c r="W137" t="str">
        <f>_xlfn.XLOOKUP(G137,'Kraken Trades'!$A$2:$A$28,'Kraken Trades'!$H$2:$H$28,"--",0)</f>
        <v>--</v>
      </c>
      <c r="X137" t="str">
        <f>_xlfn.XLOOKUP(G137,'Kraken Trades'!$A$2:$A$28,'Kraken Trades'!$I$2:$I$28,"--",0)</f>
        <v>--</v>
      </c>
      <c r="Y137" t="str">
        <f>_xlfn.XLOOKUP(G137,'Kraken Trades'!$A$2:$A$28,'Kraken Trades'!$J$2:$J$28,"--",0)</f>
        <v>--</v>
      </c>
      <c r="Z137" t="str">
        <f>_xlfn.XLOOKUP(G137,'Kraken Trades'!$A$2:$A$28,'Kraken Trades'!$K$2:$K$28,"--",0)</f>
        <v>--</v>
      </c>
      <c r="AA137" t="str">
        <f>_xlfn.XLOOKUP(G137,'Kraken Trades'!$A$2:$A$28,'Kraken Trades'!$L$2:$L$28,"--",0)</f>
        <v>--</v>
      </c>
      <c r="AB137" t="str">
        <f>_xlfn.XLOOKUP(G137,'Kraken Trades'!$A$2:$A$28,'Kraken Trades'!$M$2:$M$28,"--",0)</f>
        <v>--</v>
      </c>
    </row>
    <row r="138" spans="1:28" x14ac:dyDescent="0.15">
      <c r="A138" s="78">
        <v>45104</v>
      </c>
      <c r="B138" t="s">
        <v>104</v>
      </c>
      <c r="E138" t="str">
        <f>_xlfn.XLOOKUP(D138,'DEST TAGs'!$A$2:$A$5,'DEST TAGs'!$B$2:$B$5,"--",0)</f>
        <v>--</v>
      </c>
      <c r="F138" t="s">
        <v>267</v>
      </c>
      <c r="G138" t="s">
        <v>266</v>
      </c>
      <c r="H138" s="70">
        <v>45070.34375</v>
      </c>
      <c r="I138" t="s">
        <v>106</v>
      </c>
      <c r="K138" t="s">
        <v>107</v>
      </c>
      <c r="L138" t="s">
        <v>108</v>
      </c>
      <c r="M138">
        <v>500</v>
      </c>
      <c r="N138">
        <v>0</v>
      </c>
      <c r="O138">
        <v>655.67830000000004</v>
      </c>
      <c r="P138" t="str">
        <f>_xlfn.XLOOKUP(G138,'Kraken Trades'!$A$2:$A$28,'Kraken Trades'!$A$2:$A$28,"--",0)</f>
        <v>--</v>
      </c>
      <c r="Q138" t="str">
        <f>_xlfn.XLOOKUP(G138,'Kraken Trades'!$A$2:$A$28,'Kraken Trades'!$B$2:$B$28,"--",0)</f>
        <v>--</v>
      </c>
      <c r="R138" t="str">
        <f>_xlfn.XLOOKUP(G138,'Kraken Trades'!$A$2:$A$28,'Kraken Trades'!$C$2:$C$28,"--",0)</f>
        <v>--</v>
      </c>
      <c r="S138" t="str">
        <f>_xlfn.XLOOKUP(G138,'Kraken Trades'!$A$2:$A$28,'Kraken Trades'!$D$2:$D$28,"--",0)</f>
        <v>--</v>
      </c>
      <c r="T138" t="str">
        <f>_xlfn.XLOOKUP(G138,'Kraken Trades'!$A$2:$A$28,'Kraken Trades'!$E$2:$E$28,"--",0)</f>
        <v>--</v>
      </c>
      <c r="U138" t="str">
        <f>_xlfn.XLOOKUP(G138,'Kraken Trades'!$A$2:$A$28,'Kraken Trades'!$F$2:$F$28,"--",0)</f>
        <v>--</v>
      </c>
      <c r="V138" t="str">
        <f>_xlfn.XLOOKUP(G138,'Kraken Trades'!$A$2:$A$28,'Kraken Trades'!$G$2:$G$28,"--",0)</f>
        <v>--</v>
      </c>
      <c r="W138" t="str">
        <f>_xlfn.XLOOKUP(G138,'Kraken Trades'!$A$2:$A$28,'Kraken Trades'!$H$2:$H$28,"--",0)</f>
        <v>--</v>
      </c>
      <c r="X138" t="str">
        <f>_xlfn.XLOOKUP(G138,'Kraken Trades'!$A$2:$A$28,'Kraken Trades'!$I$2:$I$28,"--",0)</f>
        <v>--</v>
      </c>
      <c r="Y138" t="str">
        <f>_xlfn.XLOOKUP(G138,'Kraken Trades'!$A$2:$A$28,'Kraken Trades'!$J$2:$J$28,"--",0)</f>
        <v>--</v>
      </c>
      <c r="Z138" t="str">
        <f>_xlfn.XLOOKUP(G138,'Kraken Trades'!$A$2:$A$28,'Kraken Trades'!$K$2:$K$28,"--",0)</f>
        <v>--</v>
      </c>
      <c r="AA138" t="str">
        <f>_xlfn.XLOOKUP(G138,'Kraken Trades'!$A$2:$A$28,'Kraken Trades'!$L$2:$L$28,"--",0)</f>
        <v>--</v>
      </c>
      <c r="AB138" t="str">
        <f>_xlfn.XLOOKUP(G138,'Kraken Trades'!$A$2:$A$28,'Kraken Trades'!$M$2:$M$28,"--",0)</f>
        <v>--</v>
      </c>
    </row>
    <row r="139" spans="1:28" x14ac:dyDescent="0.15">
      <c r="A139" s="78">
        <v>45104</v>
      </c>
      <c r="B139" t="s">
        <v>104</v>
      </c>
      <c r="E139" t="str">
        <f>_xlfn.XLOOKUP(D139,'DEST TAGs'!$A$2:$A$5,'DEST TAGs'!$B$2:$B$5,"--",0)</f>
        <v>--</v>
      </c>
      <c r="F139" t="s">
        <v>268</v>
      </c>
      <c r="G139" t="s">
        <v>269</v>
      </c>
      <c r="H139" s="70">
        <v>45070.352083333331</v>
      </c>
      <c r="I139" t="s">
        <v>112</v>
      </c>
      <c r="K139" t="s">
        <v>107</v>
      </c>
      <c r="L139" t="s">
        <v>108</v>
      </c>
      <c r="M139">
        <v>-500.03960000000001</v>
      </c>
      <c r="N139">
        <v>0</v>
      </c>
      <c r="O139">
        <v>155.6387</v>
      </c>
      <c r="P139" t="str">
        <f>_xlfn.XLOOKUP(G139,'Kraken Trades'!$A$2:$A$28,'Kraken Trades'!$A$2:$A$28,"--",0)</f>
        <v>TANZHG-VLCY5-EISTFX</v>
      </c>
      <c r="Q139" t="str">
        <f>_xlfn.XLOOKUP(G139,'Kraken Trades'!$A$2:$A$28,'Kraken Trades'!$B$2:$B$28,"--",0)</f>
        <v>OL722S-BZJJN-MBBD5N</v>
      </c>
      <c r="R139" t="str">
        <f>_xlfn.XLOOKUP(G139,'Kraken Trades'!$A$2:$A$28,'Kraken Trades'!$C$2:$C$28,"--",0)</f>
        <v>XRPGBP</v>
      </c>
      <c r="S139">
        <f>_xlfn.XLOOKUP(G139,'Kraken Trades'!$A$2:$A$28,'Kraken Trades'!$D$2:$D$28,"--",0)</f>
        <v>1.8783564814814812E-2</v>
      </c>
      <c r="T139" t="str">
        <f>_xlfn.XLOOKUP(G139,'Kraken Trades'!$A$2:$A$28,'Kraken Trades'!$E$2:$E$28,"--",0)</f>
        <v>buy</v>
      </c>
      <c r="U139" t="str">
        <f>_xlfn.XLOOKUP(G139,'Kraken Trades'!$A$2:$A$28,'Kraken Trades'!$F$2:$F$28,"--",0)</f>
        <v>market</v>
      </c>
      <c r="V139">
        <f>_xlfn.XLOOKUP(G139,'Kraken Trades'!$A$2:$A$28,'Kraken Trades'!$G$2:$G$28,"--",0)</f>
        <v>0.36627570999999998</v>
      </c>
      <c r="W139">
        <f>_xlfn.XLOOKUP(G139,'Kraken Trades'!$A$2:$A$28,'Kraken Trades'!$H$2:$H$28,"--",0)</f>
        <v>500.03960560000002</v>
      </c>
      <c r="X139">
        <f>_xlfn.XLOOKUP(G139,'Kraken Trades'!$A$2:$A$28,'Kraken Trades'!$I$2:$I$28,"--",0)</f>
        <v>1.30010297</v>
      </c>
      <c r="Y139">
        <f>_xlfn.XLOOKUP(G139,'Kraken Trades'!$A$2:$A$28,'Kraken Trades'!$J$2:$J$28,"--",0)</f>
        <v>1365.2</v>
      </c>
      <c r="Z139">
        <f>_xlfn.XLOOKUP(G139,'Kraken Trades'!$A$2:$A$28,'Kraken Trades'!$K$2:$K$28,"--",0)</f>
        <v>0</v>
      </c>
      <c r="AA139" t="str">
        <f>_xlfn.XLOOKUP(G139,'Kraken Trades'!$A$2:$A$28,'Kraken Trades'!$L$2:$L$28,"--",0)</f>
        <v>initiated</v>
      </c>
      <c r="AB139" t="str">
        <f>_xlfn.XLOOKUP(G139,'Kraken Trades'!$A$2:$A$28,'Kraken Trades'!$M$2:$M$28,"--",0)</f>
        <v>LLERVV-7Y6UD-CQIDJJ,L4DTH7-WAHUN-LNCCGJ,L7S27Q-OJCDZ-EQ7LPQ</v>
      </c>
    </row>
    <row r="140" spans="1:28" x14ac:dyDescent="0.15">
      <c r="A140" s="78">
        <v>45104</v>
      </c>
      <c r="B140" t="s">
        <v>104</v>
      </c>
      <c r="E140" t="str">
        <f>_xlfn.XLOOKUP(D140,'DEST TAGs'!$A$2:$A$5,'DEST TAGs'!$B$2:$B$5,"--",0)</f>
        <v>--</v>
      </c>
      <c r="F140" t="s">
        <v>270</v>
      </c>
      <c r="G140" t="s">
        <v>269</v>
      </c>
      <c r="H140" s="70">
        <v>45070.352083333331</v>
      </c>
      <c r="I140" t="s">
        <v>112</v>
      </c>
      <c r="K140" t="s">
        <v>107</v>
      </c>
      <c r="L140" t="s">
        <v>114</v>
      </c>
      <c r="M140">
        <v>1365.2</v>
      </c>
      <c r="N140">
        <v>0</v>
      </c>
      <c r="O140">
        <v>1365.449443</v>
      </c>
      <c r="P140" t="str">
        <f>_xlfn.XLOOKUP(G140,'Kraken Trades'!$A$2:$A$28,'Kraken Trades'!$A$2:$A$28,"--",0)</f>
        <v>TANZHG-VLCY5-EISTFX</v>
      </c>
      <c r="Q140" t="str">
        <f>_xlfn.XLOOKUP(G140,'Kraken Trades'!$A$2:$A$28,'Kraken Trades'!$B$2:$B$28,"--",0)</f>
        <v>OL722S-BZJJN-MBBD5N</v>
      </c>
      <c r="R140" t="str">
        <f>_xlfn.XLOOKUP(G140,'Kraken Trades'!$A$2:$A$28,'Kraken Trades'!$C$2:$C$28,"--",0)</f>
        <v>XRPGBP</v>
      </c>
      <c r="S140">
        <f>_xlfn.XLOOKUP(G140,'Kraken Trades'!$A$2:$A$28,'Kraken Trades'!$D$2:$D$28,"--",0)</f>
        <v>1.8783564814814812E-2</v>
      </c>
      <c r="T140" t="str">
        <f>_xlfn.XLOOKUP(G140,'Kraken Trades'!$A$2:$A$28,'Kraken Trades'!$E$2:$E$28,"--",0)</f>
        <v>buy</v>
      </c>
      <c r="U140" t="str">
        <f>_xlfn.XLOOKUP(G140,'Kraken Trades'!$A$2:$A$28,'Kraken Trades'!$F$2:$F$28,"--",0)</f>
        <v>market</v>
      </c>
      <c r="V140">
        <f>_xlfn.XLOOKUP(G140,'Kraken Trades'!$A$2:$A$28,'Kraken Trades'!$G$2:$G$28,"--",0)</f>
        <v>0.36627570999999998</v>
      </c>
      <c r="W140">
        <f>_xlfn.XLOOKUP(G140,'Kraken Trades'!$A$2:$A$28,'Kraken Trades'!$H$2:$H$28,"--",0)</f>
        <v>500.03960560000002</v>
      </c>
      <c r="X140">
        <f>_xlfn.XLOOKUP(G140,'Kraken Trades'!$A$2:$A$28,'Kraken Trades'!$I$2:$I$28,"--",0)</f>
        <v>1.30010297</v>
      </c>
      <c r="Y140">
        <f>_xlfn.XLOOKUP(G140,'Kraken Trades'!$A$2:$A$28,'Kraken Trades'!$J$2:$J$28,"--",0)</f>
        <v>1365.2</v>
      </c>
      <c r="Z140">
        <f>_xlfn.XLOOKUP(G140,'Kraken Trades'!$A$2:$A$28,'Kraken Trades'!$K$2:$K$28,"--",0)</f>
        <v>0</v>
      </c>
      <c r="AA140" t="str">
        <f>_xlfn.XLOOKUP(G140,'Kraken Trades'!$A$2:$A$28,'Kraken Trades'!$L$2:$L$28,"--",0)</f>
        <v>initiated</v>
      </c>
      <c r="AB140" t="str">
        <f>_xlfn.XLOOKUP(G140,'Kraken Trades'!$A$2:$A$28,'Kraken Trades'!$M$2:$M$28,"--",0)</f>
        <v>LLERVV-7Y6UD-CQIDJJ,L4DTH7-WAHUN-LNCCGJ,L7S27Q-OJCDZ-EQ7LPQ</v>
      </c>
    </row>
    <row r="141" spans="1:28" x14ac:dyDescent="0.15">
      <c r="A141" s="78">
        <v>45104</v>
      </c>
      <c r="B141" t="s">
        <v>104</v>
      </c>
      <c r="E141" t="str">
        <f>_xlfn.XLOOKUP(D141,'DEST TAGs'!$A$2:$A$5,'DEST TAGs'!$B$2:$B$5,"--",0)</f>
        <v>--</v>
      </c>
      <c r="F141" t="s">
        <v>271</v>
      </c>
      <c r="G141" t="s">
        <v>269</v>
      </c>
      <c r="H141" s="70">
        <v>45070.352083333331</v>
      </c>
      <c r="I141" t="s">
        <v>112</v>
      </c>
      <c r="K141" t="s">
        <v>107</v>
      </c>
      <c r="L141" t="s">
        <v>116</v>
      </c>
      <c r="M141">
        <v>0</v>
      </c>
      <c r="N141">
        <v>161.47999999999999</v>
      </c>
      <c r="O141">
        <v>2382.71</v>
      </c>
      <c r="P141" t="str">
        <f>_xlfn.XLOOKUP(G141,'Kraken Trades'!$A$2:$A$28,'Kraken Trades'!$A$2:$A$28,"--",0)</f>
        <v>TANZHG-VLCY5-EISTFX</v>
      </c>
      <c r="Q141" t="str">
        <f>_xlfn.XLOOKUP(G141,'Kraken Trades'!$A$2:$A$28,'Kraken Trades'!$B$2:$B$28,"--",0)</f>
        <v>OL722S-BZJJN-MBBD5N</v>
      </c>
      <c r="R141" t="str">
        <f>_xlfn.XLOOKUP(G141,'Kraken Trades'!$A$2:$A$28,'Kraken Trades'!$C$2:$C$28,"--",0)</f>
        <v>XRPGBP</v>
      </c>
      <c r="S141">
        <f>_xlfn.XLOOKUP(G141,'Kraken Trades'!$A$2:$A$28,'Kraken Trades'!$D$2:$D$28,"--",0)</f>
        <v>1.8783564814814812E-2</v>
      </c>
      <c r="T141" t="str">
        <f>_xlfn.XLOOKUP(G141,'Kraken Trades'!$A$2:$A$28,'Kraken Trades'!$E$2:$E$28,"--",0)</f>
        <v>buy</v>
      </c>
      <c r="U141" t="str">
        <f>_xlfn.XLOOKUP(G141,'Kraken Trades'!$A$2:$A$28,'Kraken Trades'!$F$2:$F$28,"--",0)</f>
        <v>market</v>
      </c>
      <c r="V141">
        <f>_xlfn.XLOOKUP(G141,'Kraken Trades'!$A$2:$A$28,'Kraken Trades'!$G$2:$G$28,"--",0)</f>
        <v>0.36627570999999998</v>
      </c>
      <c r="W141">
        <f>_xlfn.XLOOKUP(G141,'Kraken Trades'!$A$2:$A$28,'Kraken Trades'!$H$2:$H$28,"--",0)</f>
        <v>500.03960560000002</v>
      </c>
      <c r="X141">
        <f>_xlfn.XLOOKUP(G141,'Kraken Trades'!$A$2:$A$28,'Kraken Trades'!$I$2:$I$28,"--",0)</f>
        <v>1.30010297</v>
      </c>
      <c r="Y141">
        <f>_xlfn.XLOOKUP(G141,'Kraken Trades'!$A$2:$A$28,'Kraken Trades'!$J$2:$J$28,"--",0)</f>
        <v>1365.2</v>
      </c>
      <c r="Z141">
        <f>_xlfn.XLOOKUP(G141,'Kraken Trades'!$A$2:$A$28,'Kraken Trades'!$K$2:$K$28,"--",0)</f>
        <v>0</v>
      </c>
      <c r="AA141" t="str">
        <f>_xlfn.XLOOKUP(G141,'Kraken Trades'!$A$2:$A$28,'Kraken Trades'!$L$2:$L$28,"--",0)</f>
        <v>initiated</v>
      </c>
      <c r="AB141" t="str">
        <f>_xlfn.XLOOKUP(G141,'Kraken Trades'!$A$2:$A$28,'Kraken Trades'!$M$2:$M$28,"--",0)</f>
        <v>LLERVV-7Y6UD-CQIDJJ,L4DTH7-WAHUN-LNCCGJ,L7S27Q-OJCDZ-EQ7LPQ</v>
      </c>
    </row>
    <row r="142" spans="1:28" x14ac:dyDescent="0.15">
      <c r="A142" s="78">
        <v>45104</v>
      </c>
      <c r="B142" t="s">
        <v>104</v>
      </c>
      <c r="E142" t="str">
        <f>_xlfn.XLOOKUP(D142,'DEST TAGs'!$A$2:$A$5,'DEST TAGs'!$B$2:$B$5,"--",0)</f>
        <v>--</v>
      </c>
      <c r="G142" t="s">
        <v>272</v>
      </c>
      <c r="H142" s="70">
        <v>45070.352777777778</v>
      </c>
      <c r="I142" t="s">
        <v>118</v>
      </c>
      <c r="K142" t="s">
        <v>107</v>
      </c>
      <c r="L142" t="s">
        <v>114</v>
      </c>
      <c r="M142">
        <v>-1365</v>
      </c>
      <c r="N142">
        <v>0.2</v>
      </c>
      <c r="P142" t="str">
        <f>_xlfn.XLOOKUP(G142,'Kraken Trades'!$A$2:$A$28,'Kraken Trades'!$A$2:$A$28,"--",0)</f>
        <v>--</v>
      </c>
      <c r="Q142" t="str">
        <f>_xlfn.XLOOKUP(G142,'Kraken Trades'!$A$2:$A$28,'Kraken Trades'!$B$2:$B$28,"--",0)</f>
        <v>--</v>
      </c>
      <c r="R142" t="str">
        <f>_xlfn.XLOOKUP(G142,'Kraken Trades'!$A$2:$A$28,'Kraken Trades'!$C$2:$C$28,"--",0)</f>
        <v>--</v>
      </c>
      <c r="S142" t="str">
        <f>_xlfn.XLOOKUP(G142,'Kraken Trades'!$A$2:$A$28,'Kraken Trades'!$D$2:$D$28,"--",0)</f>
        <v>--</v>
      </c>
      <c r="T142" t="str">
        <f>_xlfn.XLOOKUP(G142,'Kraken Trades'!$A$2:$A$28,'Kraken Trades'!$E$2:$E$28,"--",0)</f>
        <v>--</v>
      </c>
      <c r="U142" t="str">
        <f>_xlfn.XLOOKUP(G142,'Kraken Trades'!$A$2:$A$28,'Kraken Trades'!$F$2:$F$28,"--",0)</f>
        <v>--</v>
      </c>
      <c r="V142" t="str">
        <f>_xlfn.XLOOKUP(G142,'Kraken Trades'!$A$2:$A$28,'Kraken Trades'!$G$2:$G$28,"--",0)</f>
        <v>--</v>
      </c>
      <c r="W142" t="str">
        <f>_xlfn.XLOOKUP(G142,'Kraken Trades'!$A$2:$A$28,'Kraken Trades'!$H$2:$H$28,"--",0)</f>
        <v>--</v>
      </c>
      <c r="X142" t="str">
        <f>_xlfn.XLOOKUP(G142,'Kraken Trades'!$A$2:$A$28,'Kraken Trades'!$I$2:$I$28,"--",0)</f>
        <v>--</v>
      </c>
      <c r="Y142" t="str">
        <f>_xlfn.XLOOKUP(G142,'Kraken Trades'!$A$2:$A$28,'Kraken Trades'!$J$2:$J$28,"--",0)</f>
        <v>--</v>
      </c>
      <c r="Z142" t="str">
        <f>_xlfn.XLOOKUP(G142,'Kraken Trades'!$A$2:$A$28,'Kraken Trades'!$K$2:$K$28,"--",0)</f>
        <v>--</v>
      </c>
      <c r="AA142" t="str">
        <f>_xlfn.XLOOKUP(G142,'Kraken Trades'!$A$2:$A$28,'Kraken Trades'!$L$2:$L$28,"--",0)</f>
        <v>--</v>
      </c>
      <c r="AB142" t="str">
        <f>_xlfn.XLOOKUP(G142,'Kraken Trades'!$A$2:$A$28,'Kraken Trades'!$M$2:$M$28,"--",0)</f>
        <v>--</v>
      </c>
    </row>
    <row r="143" spans="1:28" x14ac:dyDescent="0.15">
      <c r="A143" s="78">
        <v>45104</v>
      </c>
      <c r="B143" t="s">
        <v>104</v>
      </c>
      <c r="C143" s="77" t="s">
        <v>69</v>
      </c>
      <c r="D143">
        <v>442734179</v>
      </c>
      <c r="E143" t="str">
        <f>_xlfn.XLOOKUP(D143,'DEST TAGs'!$A$2:$A$5,'DEST TAGs'!$B$2:$B$5,"--",0)</f>
        <v>Evgeniy Ulyukin</v>
      </c>
      <c r="F143" t="s">
        <v>273</v>
      </c>
      <c r="G143" t="s">
        <v>272</v>
      </c>
      <c r="H143" s="70">
        <v>45070.354166666664</v>
      </c>
      <c r="I143" t="s">
        <v>118</v>
      </c>
      <c r="K143" t="s">
        <v>107</v>
      </c>
      <c r="L143" t="s">
        <v>114</v>
      </c>
      <c r="M143">
        <v>-1365</v>
      </c>
      <c r="N143">
        <v>0.2</v>
      </c>
      <c r="O143">
        <v>0.24944334000000001</v>
      </c>
      <c r="P143" t="str">
        <f>_xlfn.XLOOKUP(G143,'Kraken Trades'!$A$2:$A$28,'Kraken Trades'!$A$2:$A$28,"--",0)</f>
        <v>--</v>
      </c>
      <c r="Q143" t="str">
        <f>_xlfn.XLOOKUP(G143,'Kraken Trades'!$A$2:$A$28,'Kraken Trades'!$B$2:$B$28,"--",0)</f>
        <v>--</v>
      </c>
      <c r="R143" t="str">
        <f>_xlfn.XLOOKUP(G143,'Kraken Trades'!$A$2:$A$28,'Kraken Trades'!$C$2:$C$28,"--",0)</f>
        <v>--</v>
      </c>
      <c r="S143" t="str">
        <f>_xlfn.XLOOKUP(G143,'Kraken Trades'!$A$2:$A$28,'Kraken Trades'!$D$2:$D$28,"--",0)</f>
        <v>--</v>
      </c>
      <c r="T143" t="str">
        <f>_xlfn.XLOOKUP(G143,'Kraken Trades'!$A$2:$A$28,'Kraken Trades'!$E$2:$E$28,"--",0)</f>
        <v>--</v>
      </c>
      <c r="U143" t="str">
        <f>_xlfn.XLOOKUP(G143,'Kraken Trades'!$A$2:$A$28,'Kraken Trades'!$F$2:$F$28,"--",0)</f>
        <v>--</v>
      </c>
      <c r="V143" t="str">
        <f>_xlfn.XLOOKUP(G143,'Kraken Trades'!$A$2:$A$28,'Kraken Trades'!$G$2:$G$28,"--",0)</f>
        <v>--</v>
      </c>
      <c r="W143" t="str">
        <f>_xlfn.XLOOKUP(G143,'Kraken Trades'!$A$2:$A$28,'Kraken Trades'!$H$2:$H$28,"--",0)</f>
        <v>--</v>
      </c>
      <c r="X143" t="str">
        <f>_xlfn.XLOOKUP(G143,'Kraken Trades'!$A$2:$A$28,'Kraken Trades'!$I$2:$I$28,"--",0)</f>
        <v>--</v>
      </c>
      <c r="Y143" t="str">
        <f>_xlfn.XLOOKUP(G143,'Kraken Trades'!$A$2:$A$28,'Kraken Trades'!$J$2:$J$28,"--",0)</f>
        <v>--</v>
      </c>
      <c r="Z143" t="str">
        <f>_xlfn.XLOOKUP(G143,'Kraken Trades'!$A$2:$A$28,'Kraken Trades'!$K$2:$K$28,"--",0)</f>
        <v>--</v>
      </c>
      <c r="AA143" t="str">
        <f>_xlfn.XLOOKUP(G143,'Kraken Trades'!$A$2:$A$28,'Kraken Trades'!$L$2:$L$28,"--",0)</f>
        <v>--</v>
      </c>
      <c r="AB143" t="str">
        <f>_xlfn.XLOOKUP(G143,'Kraken Trades'!$A$2:$A$28,'Kraken Trades'!$M$2:$M$28,"--",0)</f>
        <v>--</v>
      </c>
    </row>
    <row r="144" spans="1:28" x14ac:dyDescent="0.15">
      <c r="A144" s="78">
        <v>45104</v>
      </c>
      <c r="B144" t="s">
        <v>104</v>
      </c>
      <c r="E144" t="str">
        <f>_xlfn.XLOOKUP(D144,'DEST TAGs'!$A$2:$A$5,'DEST TAGs'!$B$2:$B$5,"--",0)</f>
        <v>--</v>
      </c>
      <c r="F144" t="s">
        <v>274</v>
      </c>
      <c r="G144" t="s">
        <v>275</v>
      </c>
      <c r="H144" s="70">
        <v>45071.622916666667</v>
      </c>
      <c r="I144" t="s">
        <v>112</v>
      </c>
      <c r="K144" t="s">
        <v>107</v>
      </c>
      <c r="L144" t="s">
        <v>108</v>
      </c>
      <c r="M144">
        <v>-18.332000000000001</v>
      </c>
      <c r="N144">
        <v>0</v>
      </c>
      <c r="O144">
        <v>137.30670000000001</v>
      </c>
      <c r="P144" t="str">
        <f>_xlfn.XLOOKUP(G144,'Kraken Trades'!$A$2:$A$28,'Kraken Trades'!$A$2:$A$28,"--",0)</f>
        <v>T5WPBO-KCO5M-MSXTI4</v>
      </c>
      <c r="Q144" t="str">
        <f>_xlfn.XLOOKUP(G144,'Kraken Trades'!$A$2:$A$28,'Kraken Trades'!$B$2:$B$28,"--",0)</f>
        <v>OLIJI5-U5E2L-3SRHS5</v>
      </c>
      <c r="R144" t="str">
        <f>_xlfn.XLOOKUP(G144,'Kraken Trades'!$A$2:$A$28,'Kraken Trades'!$C$2:$C$28,"--",0)</f>
        <v>XRPGBP</v>
      </c>
      <c r="S144">
        <f>_xlfn.XLOOKUP(G144,'Kraken Trades'!$A$2:$A$28,'Kraken Trades'!$D$2:$D$28,"--",0)</f>
        <v>4.010416666666667E-2</v>
      </c>
      <c r="T144" t="str">
        <f>_xlfn.XLOOKUP(G144,'Kraken Trades'!$A$2:$A$28,'Kraken Trades'!$E$2:$E$28,"--",0)</f>
        <v>buy</v>
      </c>
      <c r="U144" t="str">
        <f>_xlfn.XLOOKUP(G144,'Kraken Trades'!$A$2:$A$28,'Kraken Trades'!$F$2:$F$28,"--",0)</f>
        <v>market</v>
      </c>
      <c r="V144">
        <f>_xlfn.XLOOKUP(G144,'Kraken Trades'!$A$2:$A$28,'Kraken Trades'!$G$2:$G$28,"--",0)</f>
        <v>0.36518</v>
      </c>
      <c r="W144">
        <f>_xlfn.XLOOKUP(G144,'Kraken Trades'!$A$2:$A$28,'Kraken Trades'!$H$2:$H$28,"--",0)</f>
        <v>18.332035999999999</v>
      </c>
      <c r="X144">
        <f>_xlfn.XLOOKUP(G144,'Kraken Trades'!$A$2:$A$28,'Kraken Trades'!$I$2:$I$28,"--",0)</f>
        <v>4.7663289999999997E-2</v>
      </c>
      <c r="Y144">
        <f>_xlfn.XLOOKUP(G144,'Kraken Trades'!$A$2:$A$28,'Kraken Trades'!$J$2:$J$28,"--",0)</f>
        <v>50.2</v>
      </c>
      <c r="Z144">
        <f>_xlfn.XLOOKUP(G144,'Kraken Trades'!$A$2:$A$28,'Kraken Trades'!$K$2:$K$28,"--",0)</f>
        <v>0</v>
      </c>
      <c r="AA144" t="str">
        <f>_xlfn.XLOOKUP(G144,'Kraken Trades'!$A$2:$A$28,'Kraken Trades'!$L$2:$L$28,"--",0)</f>
        <v>initiated</v>
      </c>
      <c r="AB144" t="str">
        <f>_xlfn.XLOOKUP(G144,'Kraken Trades'!$A$2:$A$28,'Kraken Trades'!$M$2:$M$28,"--",0)</f>
        <v>LK67QU-KMT6P-HS22G3,LP2P5R-UUIEZ-RYL3OJ,LXININ-EXHQQ-XYB7JF</v>
      </c>
    </row>
    <row r="145" spans="1:28" x14ac:dyDescent="0.15">
      <c r="A145" s="78">
        <v>45104</v>
      </c>
      <c r="B145" t="s">
        <v>104</v>
      </c>
      <c r="E145" t="str">
        <f>_xlfn.XLOOKUP(D145,'DEST TAGs'!$A$2:$A$5,'DEST TAGs'!$B$2:$B$5,"--",0)</f>
        <v>--</v>
      </c>
      <c r="F145" t="s">
        <v>276</v>
      </c>
      <c r="G145" t="s">
        <v>275</v>
      </c>
      <c r="H145" s="70">
        <v>45071.622916666667</v>
      </c>
      <c r="I145" t="s">
        <v>112</v>
      </c>
      <c r="K145" t="s">
        <v>107</v>
      </c>
      <c r="L145" t="s">
        <v>114</v>
      </c>
      <c r="M145">
        <v>50.2</v>
      </c>
      <c r="N145">
        <v>0</v>
      </c>
      <c r="O145">
        <v>50.449443340000002</v>
      </c>
      <c r="P145" t="str">
        <f>_xlfn.XLOOKUP(G145,'Kraken Trades'!$A$2:$A$28,'Kraken Trades'!$A$2:$A$28,"--",0)</f>
        <v>T5WPBO-KCO5M-MSXTI4</v>
      </c>
      <c r="Q145" t="str">
        <f>_xlfn.XLOOKUP(G145,'Kraken Trades'!$A$2:$A$28,'Kraken Trades'!$B$2:$B$28,"--",0)</f>
        <v>OLIJI5-U5E2L-3SRHS5</v>
      </c>
      <c r="R145" t="str">
        <f>_xlfn.XLOOKUP(G145,'Kraken Trades'!$A$2:$A$28,'Kraken Trades'!$C$2:$C$28,"--",0)</f>
        <v>XRPGBP</v>
      </c>
      <c r="S145">
        <f>_xlfn.XLOOKUP(G145,'Kraken Trades'!$A$2:$A$28,'Kraken Trades'!$D$2:$D$28,"--",0)</f>
        <v>4.010416666666667E-2</v>
      </c>
      <c r="T145" t="str">
        <f>_xlfn.XLOOKUP(G145,'Kraken Trades'!$A$2:$A$28,'Kraken Trades'!$E$2:$E$28,"--",0)</f>
        <v>buy</v>
      </c>
      <c r="U145" t="str">
        <f>_xlfn.XLOOKUP(G145,'Kraken Trades'!$A$2:$A$28,'Kraken Trades'!$F$2:$F$28,"--",0)</f>
        <v>market</v>
      </c>
      <c r="V145">
        <f>_xlfn.XLOOKUP(G145,'Kraken Trades'!$A$2:$A$28,'Kraken Trades'!$G$2:$G$28,"--",0)</f>
        <v>0.36518</v>
      </c>
      <c r="W145">
        <f>_xlfn.XLOOKUP(G145,'Kraken Trades'!$A$2:$A$28,'Kraken Trades'!$H$2:$H$28,"--",0)</f>
        <v>18.332035999999999</v>
      </c>
      <c r="X145">
        <f>_xlfn.XLOOKUP(G145,'Kraken Trades'!$A$2:$A$28,'Kraken Trades'!$I$2:$I$28,"--",0)</f>
        <v>4.7663289999999997E-2</v>
      </c>
      <c r="Y145">
        <f>_xlfn.XLOOKUP(G145,'Kraken Trades'!$A$2:$A$28,'Kraken Trades'!$J$2:$J$28,"--",0)</f>
        <v>50.2</v>
      </c>
      <c r="Z145">
        <f>_xlfn.XLOOKUP(G145,'Kraken Trades'!$A$2:$A$28,'Kraken Trades'!$K$2:$K$28,"--",0)</f>
        <v>0</v>
      </c>
      <c r="AA145" t="str">
        <f>_xlfn.XLOOKUP(G145,'Kraken Trades'!$A$2:$A$28,'Kraken Trades'!$L$2:$L$28,"--",0)</f>
        <v>initiated</v>
      </c>
      <c r="AB145" t="str">
        <f>_xlfn.XLOOKUP(G145,'Kraken Trades'!$A$2:$A$28,'Kraken Trades'!$M$2:$M$28,"--",0)</f>
        <v>LK67QU-KMT6P-HS22G3,LP2P5R-UUIEZ-RYL3OJ,LXININ-EXHQQ-XYB7JF</v>
      </c>
    </row>
    <row r="146" spans="1:28" x14ac:dyDescent="0.15">
      <c r="A146" s="78">
        <v>45104</v>
      </c>
      <c r="B146" t="s">
        <v>104</v>
      </c>
      <c r="E146" t="str">
        <f>_xlfn.XLOOKUP(D146,'DEST TAGs'!$A$2:$A$5,'DEST TAGs'!$B$2:$B$5,"--",0)</f>
        <v>--</v>
      </c>
      <c r="F146" t="s">
        <v>277</v>
      </c>
      <c r="G146" t="s">
        <v>275</v>
      </c>
      <c r="H146" s="70">
        <v>45071.622916666667</v>
      </c>
      <c r="I146" t="s">
        <v>112</v>
      </c>
      <c r="K146" t="s">
        <v>107</v>
      </c>
      <c r="L146" t="s">
        <v>116</v>
      </c>
      <c r="M146">
        <v>0</v>
      </c>
      <c r="N146">
        <v>5.89</v>
      </c>
      <c r="O146">
        <v>2376.8200000000002</v>
      </c>
      <c r="P146" t="str">
        <f>_xlfn.XLOOKUP(G146,'Kraken Trades'!$A$2:$A$28,'Kraken Trades'!$A$2:$A$28,"--",0)</f>
        <v>T5WPBO-KCO5M-MSXTI4</v>
      </c>
      <c r="Q146" t="str">
        <f>_xlfn.XLOOKUP(G146,'Kraken Trades'!$A$2:$A$28,'Kraken Trades'!$B$2:$B$28,"--",0)</f>
        <v>OLIJI5-U5E2L-3SRHS5</v>
      </c>
      <c r="R146" t="str">
        <f>_xlfn.XLOOKUP(G146,'Kraken Trades'!$A$2:$A$28,'Kraken Trades'!$C$2:$C$28,"--",0)</f>
        <v>XRPGBP</v>
      </c>
      <c r="S146">
        <f>_xlfn.XLOOKUP(G146,'Kraken Trades'!$A$2:$A$28,'Kraken Trades'!$D$2:$D$28,"--",0)</f>
        <v>4.010416666666667E-2</v>
      </c>
      <c r="T146" t="str">
        <f>_xlfn.XLOOKUP(G146,'Kraken Trades'!$A$2:$A$28,'Kraken Trades'!$E$2:$E$28,"--",0)</f>
        <v>buy</v>
      </c>
      <c r="U146" t="str">
        <f>_xlfn.XLOOKUP(G146,'Kraken Trades'!$A$2:$A$28,'Kraken Trades'!$F$2:$F$28,"--",0)</f>
        <v>market</v>
      </c>
      <c r="V146">
        <f>_xlfn.XLOOKUP(G146,'Kraken Trades'!$A$2:$A$28,'Kraken Trades'!$G$2:$G$28,"--",0)</f>
        <v>0.36518</v>
      </c>
      <c r="W146">
        <f>_xlfn.XLOOKUP(G146,'Kraken Trades'!$A$2:$A$28,'Kraken Trades'!$H$2:$H$28,"--",0)</f>
        <v>18.332035999999999</v>
      </c>
      <c r="X146">
        <f>_xlfn.XLOOKUP(G146,'Kraken Trades'!$A$2:$A$28,'Kraken Trades'!$I$2:$I$28,"--",0)</f>
        <v>4.7663289999999997E-2</v>
      </c>
      <c r="Y146">
        <f>_xlfn.XLOOKUP(G146,'Kraken Trades'!$A$2:$A$28,'Kraken Trades'!$J$2:$J$28,"--",0)</f>
        <v>50.2</v>
      </c>
      <c r="Z146">
        <f>_xlfn.XLOOKUP(G146,'Kraken Trades'!$A$2:$A$28,'Kraken Trades'!$K$2:$K$28,"--",0)</f>
        <v>0</v>
      </c>
      <c r="AA146" t="str">
        <f>_xlfn.XLOOKUP(G146,'Kraken Trades'!$A$2:$A$28,'Kraken Trades'!$L$2:$L$28,"--",0)</f>
        <v>initiated</v>
      </c>
      <c r="AB146" t="str">
        <f>_xlfn.XLOOKUP(G146,'Kraken Trades'!$A$2:$A$28,'Kraken Trades'!$M$2:$M$28,"--",0)</f>
        <v>LK67QU-KMT6P-HS22G3,LP2P5R-UUIEZ-RYL3OJ,LXININ-EXHQQ-XYB7JF</v>
      </c>
    </row>
    <row r="147" spans="1:28" x14ac:dyDescent="0.15">
      <c r="A147" s="78">
        <v>45104</v>
      </c>
      <c r="B147" t="s">
        <v>104</v>
      </c>
      <c r="E147" t="str">
        <f>_xlfn.XLOOKUP(D147,'DEST TAGs'!$A$2:$A$5,'DEST TAGs'!$B$2:$B$5,"--",0)</f>
        <v>--</v>
      </c>
      <c r="G147" t="s">
        <v>278</v>
      </c>
      <c r="H147" s="70">
        <v>45071.623611111114</v>
      </c>
      <c r="I147" t="s">
        <v>118</v>
      </c>
      <c r="K147" t="s">
        <v>107</v>
      </c>
      <c r="L147" t="s">
        <v>114</v>
      </c>
      <c r="M147">
        <v>-50</v>
      </c>
      <c r="N147">
        <v>0.2</v>
      </c>
      <c r="P147" t="str">
        <f>_xlfn.XLOOKUP(G147,'Kraken Trades'!$A$2:$A$28,'Kraken Trades'!$A$2:$A$28,"--",0)</f>
        <v>--</v>
      </c>
      <c r="Q147" t="str">
        <f>_xlfn.XLOOKUP(G147,'Kraken Trades'!$A$2:$A$28,'Kraken Trades'!$B$2:$B$28,"--",0)</f>
        <v>--</v>
      </c>
      <c r="R147" t="str">
        <f>_xlfn.XLOOKUP(G147,'Kraken Trades'!$A$2:$A$28,'Kraken Trades'!$C$2:$C$28,"--",0)</f>
        <v>--</v>
      </c>
      <c r="S147" t="str">
        <f>_xlfn.XLOOKUP(G147,'Kraken Trades'!$A$2:$A$28,'Kraken Trades'!$D$2:$D$28,"--",0)</f>
        <v>--</v>
      </c>
      <c r="T147" t="str">
        <f>_xlfn.XLOOKUP(G147,'Kraken Trades'!$A$2:$A$28,'Kraken Trades'!$E$2:$E$28,"--",0)</f>
        <v>--</v>
      </c>
      <c r="U147" t="str">
        <f>_xlfn.XLOOKUP(G147,'Kraken Trades'!$A$2:$A$28,'Kraken Trades'!$F$2:$F$28,"--",0)</f>
        <v>--</v>
      </c>
      <c r="V147" t="str">
        <f>_xlfn.XLOOKUP(G147,'Kraken Trades'!$A$2:$A$28,'Kraken Trades'!$G$2:$G$28,"--",0)</f>
        <v>--</v>
      </c>
      <c r="W147" t="str">
        <f>_xlfn.XLOOKUP(G147,'Kraken Trades'!$A$2:$A$28,'Kraken Trades'!$H$2:$H$28,"--",0)</f>
        <v>--</v>
      </c>
      <c r="X147" t="str">
        <f>_xlfn.XLOOKUP(G147,'Kraken Trades'!$A$2:$A$28,'Kraken Trades'!$I$2:$I$28,"--",0)</f>
        <v>--</v>
      </c>
      <c r="Y147" t="str">
        <f>_xlfn.XLOOKUP(G147,'Kraken Trades'!$A$2:$A$28,'Kraken Trades'!$J$2:$J$28,"--",0)</f>
        <v>--</v>
      </c>
      <c r="Z147" t="str">
        <f>_xlfn.XLOOKUP(G147,'Kraken Trades'!$A$2:$A$28,'Kraken Trades'!$K$2:$K$28,"--",0)</f>
        <v>--</v>
      </c>
      <c r="AA147" t="str">
        <f>_xlfn.XLOOKUP(G147,'Kraken Trades'!$A$2:$A$28,'Kraken Trades'!$L$2:$L$28,"--",0)</f>
        <v>--</v>
      </c>
      <c r="AB147" t="str">
        <f>_xlfn.XLOOKUP(G147,'Kraken Trades'!$A$2:$A$28,'Kraken Trades'!$M$2:$M$28,"--",0)</f>
        <v>--</v>
      </c>
    </row>
    <row r="148" spans="1:28" x14ac:dyDescent="0.15">
      <c r="A148" s="78">
        <v>45104</v>
      </c>
      <c r="B148" t="s">
        <v>104</v>
      </c>
      <c r="C148" s="77" t="s">
        <v>70</v>
      </c>
      <c r="D148">
        <v>373650723</v>
      </c>
      <c r="E148" t="str">
        <f>_xlfn.XLOOKUP(D148,'DEST TAGs'!$A$2:$A$5,'DEST TAGs'!$B$2:$B$5,"--",0)</f>
        <v>Ivan Maltsev</v>
      </c>
      <c r="F148" t="s">
        <v>279</v>
      </c>
      <c r="G148" t="s">
        <v>278</v>
      </c>
      <c r="H148" s="70">
        <v>45071.625</v>
      </c>
      <c r="I148" t="s">
        <v>118</v>
      </c>
      <c r="K148" t="s">
        <v>107</v>
      </c>
      <c r="L148" t="s">
        <v>114</v>
      </c>
      <c r="M148">
        <v>-50</v>
      </c>
      <c r="N148">
        <v>0.2</v>
      </c>
      <c r="O148">
        <v>0.24944334000000001</v>
      </c>
      <c r="P148" t="str">
        <f>_xlfn.XLOOKUP(G148,'Kraken Trades'!$A$2:$A$28,'Kraken Trades'!$A$2:$A$28,"--",0)</f>
        <v>--</v>
      </c>
      <c r="Q148" t="str">
        <f>_xlfn.XLOOKUP(G148,'Kraken Trades'!$A$2:$A$28,'Kraken Trades'!$B$2:$B$28,"--",0)</f>
        <v>--</v>
      </c>
      <c r="R148" t="str">
        <f>_xlfn.XLOOKUP(G148,'Kraken Trades'!$A$2:$A$28,'Kraken Trades'!$C$2:$C$28,"--",0)</f>
        <v>--</v>
      </c>
      <c r="S148" t="str">
        <f>_xlfn.XLOOKUP(G148,'Kraken Trades'!$A$2:$A$28,'Kraken Trades'!$D$2:$D$28,"--",0)</f>
        <v>--</v>
      </c>
      <c r="T148" t="str">
        <f>_xlfn.XLOOKUP(G148,'Kraken Trades'!$A$2:$A$28,'Kraken Trades'!$E$2:$E$28,"--",0)</f>
        <v>--</v>
      </c>
      <c r="U148" t="str">
        <f>_xlfn.XLOOKUP(G148,'Kraken Trades'!$A$2:$A$28,'Kraken Trades'!$F$2:$F$28,"--",0)</f>
        <v>--</v>
      </c>
      <c r="V148" t="str">
        <f>_xlfn.XLOOKUP(G148,'Kraken Trades'!$A$2:$A$28,'Kraken Trades'!$G$2:$G$28,"--",0)</f>
        <v>--</v>
      </c>
      <c r="W148" t="str">
        <f>_xlfn.XLOOKUP(G148,'Kraken Trades'!$A$2:$A$28,'Kraken Trades'!$H$2:$H$28,"--",0)</f>
        <v>--</v>
      </c>
      <c r="X148" t="str">
        <f>_xlfn.XLOOKUP(G148,'Kraken Trades'!$A$2:$A$28,'Kraken Trades'!$I$2:$I$28,"--",0)</f>
        <v>--</v>
      </c>
      <c r="Y148" t="str">
        <f>_xlfn.XLOOKUP(G148,'Kraken Trades'!$A$2:$A$28,'Kraken Trades'!$J$2:$J$28,"--",0)</f>
        <v>--</v>
      </c>
      <c r="Z148" t="str">
        <f>_xlfn.XLOOKUP(G148,'Kraken Trades'!$A$2:$A$28,'Kraken Trades'!$K$2:$K$28,"--",0)</f>
        <v>--</v>
      </c>
      <c r="AA148" t="str">
        <f>_xlfn.XLOOKUP(G148,'Kraken Trades'!$A$2:$A$28,'Kraken Trades'!$L$2:$L$28,"--",0)</f>
        <v>--</v>
      </c>
      <c r="AB148" t="str">
        <f>_xlfn.XLOOKUP(G148,'Kraken Trades'!$A$2:$A$28,'Kraken Trades'!$M$2:$M$28,"--",0)</f>
        <v>--</v>
      </c>
    </row>
    <row r="149" spans="1:28" x14ac:dyDescent="0.15">
      <c r="A149" s="78">
        <v>45104</v>
      </c>
      <c r="B149" t="s">
        <v>104</v>
      </c>
      <c r="E149" t="str">
        <f>_xlfn.XLOOKUP(D149,'DEST TAGs'!$A$2:$A$5,'DEST TAGs'!$B$2:$B$5,"--",0)</f>
        <v>--</v>
      </c>
      <c r="G149" t="s">
        <v>280</v>
      </c>
      <c r="H149" s="70">
        <v>45072.243055555555</v>
      </c>
      <c r="I149" t="s">
        <v>106</v>
      </c>
      <c r="K149" t="s">
        <v>107</v>
      </c>
      <c r="L149" t="s">
        <v>108</v>
      </c>
      <c r="M149">
        <v>600</v>
      </c>
      <c r="N149">
        <v>0</v>
      </c>
      <c r="P149" t="str">
        <f>_xlfn.XLOOKUP(G149,'Kraken Trades'!$A$2:$A$28,'Kraken Trades'!$A$2:$A$28,"--",0)</f>
        <v>--</v>
      </c>
      <c r="Q149" t="str">
        <f>_xlfn.XLOOKUP(G149,'Kraken Trades'!$A$2:$A$28,'Kraken Trades'!$B$2:$B$28,"--",0)</f>
        <v>--</v>
      </c>
      <c r="R149" t="str">
        <f>_xlfn.XLOOKUP(G149,'Kraken Trades'!$A$2:$A$28,'Kraken Trades'!$C$2:$C$28,"--",0)</f>
        <v>--</v>
      </c>
      <c r="S149" t="str">
        <f>_xlfn.XLOOKUP(G149,'Kraken Trades'!$A$2:$A$28,'Kraken Trades'!$D$2:$D$28,"--",0)</f>
        <v>--</v>
      </c>
      <c r="T149" t="str">
        <f>_xlfn.XLOOKUP(G149,'Kraken Trades'!$A$2:$A$28,'Kraken Trades'!$E$2:$E$28,"--",0)</f>
        <v>--</v>
      </c>
      <c r="U149" t="str">
        <f>_xlfn.XLOOKUP(G149,'Kraken Trades'!$A$2:$A$28,'Kraken Trades'!$F$2:$F$28,"--",0)</f>
        <v>--</v>
      </c>
      <c r="V149" t="str">
        <f>_xlfn.XLOOKUP(G149,'Kraken Trades'!$A$2:$A$28,'Kraken Trades'!$G$2:$G$28,"--",0)</f>
        <v>--</v>
      </c>
      <c r="W149" t="str">
        <f>_xlfn.XLOOKUP(G149,'Kraken Trades'!$A$2:$A$28,'Kraken Trades'!$H$2:$H$28,"--",0)</f>
        <v>--</v>
      </c>
      <c r="X149" t="str">
        <f>_xlfn.XLOOKUP(G149,'Kraken Trades'!$A$2:$A$28,'Kraken Trades'!$I$2:$I$28,"--",0)</f>
        <v>--</v>
      </c>
      <c r="Y149" t="str">
        <f>_xlfn.XLOOKUP(G149,'Kraken Trades'!$A$2:$A$28,'Kraken Trades'!$J$2:$J$28,"--",0)</f>
        <v>--</v>
      </c>
      <c r="Z149" t="str">
        <f>_xlfn.XLOOKUP(G149,'Kraken Trades'!$A$2:$A$28,'Kraken Trades'!$K$2:$K$28,"--",0)</f>
        <v>--</v>
      </c>
      <c r="AA149" t="str">
        <f>_xlfn.XLOOKUP(G149,'Kraken Trades'!$A$2:$A$28,'Kraken Trades'!$L$2:$L$28,"--",0)</f>
        <v>--</v>
      </c>
      <c r="AB149" t="str">
        <f>_xlfn.XLOOKUP(G149,'Kraken Trades'!$A$2:$A$28,'Kraken Trades'!$M$2:$M$28,"--",0)</f>
        <v>--</v>
      </c>
    </row>
    <row r="150" spans="1:28" x14ac:dyDescent="0.15">
      <c r="A150" s="78">
        <v>45104</v>
      </c>
      <c r="B150" t="s">
        <v>104</v>
      </c>
      <c r="E150" t="str">
        <f>_xlfn.XLOOKUP(D150,'DEST TAGs'!$A$2:$A$5,'DEST TAGs'!$B$2:$B$5,"--",0)</f>
        <v>--</v>
      </c>
      <c r="F150" t="s">
        <v>281</v>
      </c>
      <c r="G150" t="s">
        <v>280</v>
      </c>
      <c r="H150" s="70">
        <v>45072.348611111112</v>
      </c>
      <c r="I150" t="s">
        <v>106</v>
      </c>
      <c r="K150" t="s">
        <v>107</v>
      </c>
      <c r="L150" t="s">
        <v>108</v>
      </c>
      <c r="M150">
        <v>600</v>
      </c>
      <c r="N150">
        <v>0</v>
      </c>
      <c r="O150">
        <v>737.30669999999998</v>
      </c>
      <c r="P150" t="str">
        <f>_xlfn.XLOOKUP(G150,'Kraken Trades'!$A$2:$A$28,'Kraken Trades'!$A$2:$A$28,"--",0)</f>
        <v>--</v>
      </c>
      <c r="Q150" t="str">
        <f>_xlfn.XLOOKUP(G150,'Kraken Trades'!$A$2:$A$28,'Kraken Trades'!$B$2:$B$28,"--",0)</f>
        <v>--</v>
      </c>
      <c r="R150" t="str">
        <f>_xlfn.XLOOKUP(G150,'Kraken Trades'!$A$2:$A$28,'Kraken Trades'!$C$2:$C$28,"--",0)</f>
        <v>--</v>
      </c>
      <c r="S150" t="str">
        <f>_xlfn.XLOOKUP(G150,'Kraken Trades'!$A$2:$A$28,'Kraken Trades'!$D$2:$D$28,"--",0)</f>
        <v>--</v>
      </c>
      <c r="T150" t="str">
        <f>_xlfn.XLOOKUP(G150,'Kraken Trades'!$A$2:$A$28,'Kraken Trades'!$E$2:$E$28,"--",0)</f>
        <v>--</v>
      </c>
      <c r="U150" t="str">
        <f>_xlfn.XLOOKUP(G150,'Kraken Trades'!$A$2:$A$28,'Kraken Trades'!$F$2:$F$28,"--",0)</f>
        <v>--</v>
      </c>
      <c r="V150" t="str">
        <f>_xlfn.XLOOKUP(G150,'Kraken Trades'!$A$2:$A$28,'Kraken Trades'!$G$2:$G$28,"--",0)</f>
        <v>--</v>
      </c>
      <c r="W150" t="str">
        <f>_xlfn.XLOOKUP(G150,'Kraken Trades'!$A$2:$A$28,'Kraken Trades'!$H$2:$H$28,"--",0)</f>
        <v>--</v>
      </c>
      <c r="X150" t="str">
        <f>_xlfn.XLOOKUP(G150,'Kraken Trades'!$A$2:$A$28,'Kraken Trades'!$I$2:$I$28,"--",0)</f>
        <v>--</v>
      </c>
      <c r="Y150" t="str">
        <f>_xlfn.XLOOKUP(G150,'Kraken Trades'!$A$2:$A$28,'Kraken Trades'!$J$2:$J$28,"--",0)</f>
        <v>--</v>
      </c>
      <c r="Z150" t="str">
        <f>_xlfn.XLOOKUP(G150,'Kraken Trades'!$A$2:$A$28,'Kraken Trades'!$K$2:$K$28,"--",0)</f>
        <v>--</v>
      </c>
      <c r="AA150" t="str">
        <f>_xlfn.XLOOKUP(G150,'Kraken Trades'!$A$2:$A$28,'Kraken Trades'!$L$2:$L$28,"--",0)</f>
        <v>--</v>
      </c>
      <c r="AB150" t="str">
        <f>_xlfn.XLOOKUP(G150,'Kraken Trades'!$A$2:$A$28,'Kraken Trades'!$M$2:$M$28,"--",0)</f>
        <v>--</v>
      </c>
    </row>
    <row r="151" spans="1:28" x14ac:dyDescent="0.15">
      <c r="A151" s="78">
        <v>45104</v>
      </c>
      <c r="B151" t="s">
        <v>104</v>
      </c>
      <c r="E151" t="str">
        <f>_xlfn.XLOOKUP(D151,'DEST TAGs'!$A$2:$A$5,'DEST TAGs'!$B$2:$B$5,"--",0)</f>
        <v>--</v>
      </c>
      <c r="F151" t="s">
        <v>282</v>
      </c>
      <c r="G151" t="s">
        <v>283</v>
      </c>
      <c r="H151" s="70">
        <v>45072.370138888888</v>
      </c>
      <c r="I151" t="s">
        <v>112</v>
      </c>
      <c r="K151" t="s">
        <v>107</v>
      </c>
      <c r="L151" t="s">
        <v>108</v>
      </c>
      <c r="M151">
        <v>-600.05849999999998</v>
      </c>
      <c r="N151">
        <v>0</v>
      </c>
      <c r="O151">
        <v>137.2482</v>
      </c>
      <c r="P151" t="str">
        <f>_xlfn.XLOOKUP(G151,'Kraken Trades'!$A$2:$A$28,'Kraken Trades'!$A$2:$A$28,"--",0)</f>
        <v>T73URZ-WCR7O-KNRSSV</v>
      </c>
      <c r="Q151" t="str">
        <f>_xlfn.XLOOKUP(G151,'Kraken Trades'!$A$2:$A$28,'Kraken Trades'!$B$2:$B$28,"--",0)</f>
        <v>OZO4SE-W5KQZ-7JGL2S</v>
      </c>
      <c r="R151" t="str">
        <f>_xlfn.XLOOKUP(G151,'Kraken Trades'!$A$2:$A$28,'Kraken Trades'!$C$2:$C$28,"--",0)</f>
        <v>XRPGBP</v>
      </c>
      <c r="S151">
        <f>_xlfn.XLOOKUP(G151,'Kraken Trades'!$A$2:$A$28,'Kraken Trades'!$D$2:$D$28,"--",0)</f>
        <v>3.6902777777777777E-2</v>
      </c>
      <c r="T151" t="str">
        <f>_xlfn.XLOOKUP(G151,'Kraken Trades'!$A$2:$A$28,'Kraken Trades'!$E$2:$E$28,"--",0)</f>
        <v>buy</v>
      </c>
      <c r="U151" t="str">
        <f>_xlfn.XLOOKUP(G151,'Kraken Trades'!$A$2:$A$28,'Kraken Trades'!$F$2:$F$28,"--",0)</f>
        <v>market</v>
      </c>
      <c r="V151">
        <f>_xlfn.XLOOKUP(G151,'Kraken Trades'!$A$2:$A$28,'Kraken Trades'!$G$2:$G$28,"--",0)</f>
        <v>0.37498967</v>
      </c>
      <c r="W151">
        <f>_xlfn.XLOOKUP(G151,'Kraken Trades'!$A$2:$A$28,'Kraken Trades'!$H$2:$H$28,"--",0)</f>
        <v>600.05846499999996</v>
      </c>
      <c r="X151">
        <f>_xlfn.XLOOKUP(G151,'Kraken Trades'!$A$2:$A$28,'Kraken Trades'!$I$2:$I$28,"--",0)</f>
        <v>1.5601520099999999</v>
      </c>
      <c r="Y151">
        <f>_xlfn.XLOOKUP(G151,'Kraken Trades'!$A$2:$A$28,'Kraken Trades'!$J$2:$J$28,"--",0)</f>
        <v>1600.2</v>
      </c>
      <c r="Z151">
        <f>_xlfn.XLOOKUP(G151,'Kraken Trades'!$A$2:$A$28,'Kraken Trades'!$K$2:$K$28,"--",0)</f>
        <v>0</v>
      </c>
      <c r="AA151" t="str">
        <f>_xlfn.XLOOKUP(G151,'Kraken Trades'!$A$2:$A$28,'Kraken Trades'!$L$2:$L$28,"--",0)</f>
        <v>initiated</v>
      </c>
      <c r="AB151" t="str">
        <f>_xlfn.XLOOKUP(G151,'Kraken Trades'!$A$2:$A$28,'Kraken Trades'!$M$2:$M$28,"--",0)</f>
        <v>LO53W2-FKVRJ-GGDHM2,LE3IRU-L5DT3-Z7WAUM,LWR65G-AZKQL-2ZI2FS</v>
      </c>
    </row>
    <row r="152" spans="1:28" x14ac:dyDescent="0.15">
      <c r="A152" s="78">
        <v>45104</v>
      </c>
      <c r="B152" t="s">
        <v>104</v>
      </c>
      <c r="E152" t="str">
        <f>_xlfn.XLOOKUP(D152,'DEST TAGs'!$A$2:$A$5,'DEST TAGs'!$B$2:$B$5,"--",0)</f>
        <v>--</v>
      </c>
      <c r="F152" t="s">
        <v>284</v>
      </c>
      <c r="G152" t="s">
        <v>283</v>
      </c>
      <c r="H152" s="70">
        <v>45072.370138888888</v>
      </c>
      <c r="I152" t="s">
        <v>112</v>
      </c>
      <c r="K152" t="s">
        <v>107</v>
      </c>
      <c r="L152" t="s">
        <v>114</v>
      </c>
      <c r="M152">
        <v>1600.2</v>
      </c>
      <c r="N152">
        <v>0</v>
      </c>
      <c r="O152">
        <v>1600.449443</v>
      </c>
      <c r="P152" t="str">
        <f>_xlfn.XLOOKUP(G152,'Kraken Trades'!$A$2:$A$28,'Kraken Trades'!$A$2:$A$28,"--",0)</f>
        <v>T73URZ-WCR7O-KNRSSV</v>
      </c>
      <c r="Q152" t="str">
        <f>_xlfn.XLOOKUP(G152,'Kraken Trades'!$A$2:$A$28,'Kraken Trades'!$B$2:$B$28,"--",0)</f>
        <v>OZO4SE-W5KQZ-7JGL2S</v>
      </c>
      <c r="R152" t="str">
        <f>_xlfn.XLOOKUP(G152,'Kraken Trades'!$A$2:$A$28,'Kraken Trades'!$C$2:$C$28,"--",0)</f>
        <v>XRPGBP</v>
      </c>
      <c r="S152">
        <f>_xlfn.XLOOKUP(G152,'Kraken Trades'!$A$2:$A$28,'Kraken Trades'!$D$2:$D$28,"--",0)</f>
        <v>3.6902777777777777E-2</v>
      </c>
      <c r="T152" t="str">
        <f>_xlfn.XLOOKUP(G152,'Kraken Trades'!$A$2:$A$28,'Kraken Trades'!$E$2:$E$28,"--",0)</f>
        <v>buy</v>
      </c>
      <c r="U152" t="str">
        <f>_xlfn.XLOOKUP(G152,'Kraken Trades'!$A$2:$A$28,'Kraken Trades'!$F$2:$F$28,"--",0)</f>
        <v>market</v>
      </c>
      <c r="V152">
        <f>_xlfn.XLOOKUP(G152,'Kraken Trades'!$A$2:$A$28,'Kraken Trades'!$G$2:$G$28,"--",0)</f>
        <v>0.37498967</v>
      </c>
      <c r="W152">
        <f>_xlfn.XLOOKUP(G152,'Kraken Trades'!$A$2:$A$28,'Kraken Trades'!$H$2:$H$28,"--",0)</f>
        <v>600.05846499999996</v>
      </c>
      <c r="X152">
        <f>_xlfn.XLOOKUP(G152,'Kraken Trades'!$A$2:$A$28,'Kraken Trades'!$I$2:$I$28,"--",0)</f>
        <v>1.5601520099999999</v>
      </c>
      <c r="Y152">
        <f>_xlfn.XLOOKUP(G152,'Kraken Trades'!$A$2:$A$28,'Kraken Trades'!$J$2:$J$28,"--",0)</f>
        <v>1600.2</v>
      </c>
      <c r="Z152">
        <f>_xlfn.XLOOKUP(G152,'Kraken Trades'!$A$2:$A$28,'Kraken Trades'!$K$2:$K$28,"--",0)</f>
        <v>0</v>
      </c>
      <c r="AA152" t="str">
        <f>_xlfn.XLOOKUP(G152,'Kraken Trades'!$A$2:$A$28,'Kraken Trades'!$L$2:$L$28,"--",0)</f>
        <v>initiated</v>
      </c>
      <c r="AB152" t="str">
        <f>_xlfn.XLOOKUP(G152,'Kraken Trades'!$A$2:$A$28,'Kraken Trades'!$M$2:$M$28,"--",0)</f>
        <v>LO53W2-FKVRJ-GGDHM2,LE3IRU-L5DT3-Z7WAUM,LWR65G-AZKQL-2ZI2FS</v>
      </c>
    </row>
    <row r="153" spans="1:28" x14ac:dyDescent="0.15">
      <c r="A153" s="78">
        <v>45104</v>
      </c>
      <c r="B153" t="s">
        <v>104</v>
      </c>
      <c r="E153" t="str">
        <f>_xlfn.XLOOKUP(D153,'DEST TAGs'!$A$2:$A$5,'DEST TAGs'!$B$2:$B$5,"--",0)</f>
        <v>--</v>
      </c>
      <c r="F153" t="s">
        <v>285</v>
      </c>
      <c r="G153" t="s">
        <v>283</v>
      </c>
      <c r="H153" s="70">
        <v>45072.370138888888</v>
      </c>
      <c r="I153" t="s">
        <v>112</v>
      </c>
      <c r="K153" t="s">
        <v>107</v>
      </c>
      <c r="L153" t="s">
        <v>116</v>
      </c>
      <c r="M153">
        <v>0</v>
      </c>
      <c r="N153">
        <v>192.79</v>
      </c>
      <c r="O153">
        <v>2184.0300000000002</v>
      </c>
      <c r="P153" t="str">
        <f>_xlfn.XLOOKUP(G153,'Kraken Trades'!$A$2:$A$28,'Kraken Trades'!$A$2:$A$28,"--",0)</f>
        <v>T73URZ-WCR7O-KNRSSV</v>
      </c>
      <c r="Q153" t="str">
        <f>_xlfn.XLOOKUP(G153,'Kraken Trades'!$A$2:$A$28,'Kraken Trades'!$B$2:$B$28,"--",0)</f>
        <v>OZO4SE-W5KQZ-7JGL2S</v>
      </c>
      <c r="R153" t="str">
        <f>_xlfn.XLOOKUP(G153,'Kraken Trades'!$A$2:$A$28,'Kraken Trades'!$C$2:$C$28,"--",0)</f>
        <v>XRPGBP</v>
      </c>
      <c r="S153">
        <f>_xlfn.XLOOKUP(G153,'Kraken Trades'!$A$2:$A$28,'Kraken Trades'!$D$2:$D$28,"--",0)</f>
        <v>3.6902777777777777E-2</v>
      </c>
      <c r="T153" t="str">
        <f>_xlfn.XLOOKUP(G153,'Kraken Trades'!$A$2:$A$28,'Kraken Trades'!$E$2:$E$28,"--",0)</f>
        <v>buy</v>
      </c>
      <c r="U153" t="str">
        <f>_xlfn.XLOOKUP(G153,'Kraken Trades'!$A$2:$A$28,'Kraken Trades'!$F$2:$F$28,"--",0)</f>
        <v>market</v>
      </c>
      <c r="V153">
        <f>_xlfn.XLOOKUP(G153,'Kraken Trades'!$A$2:$A$28,'Kraken Trades'!$G$2:$G$28,"--",0)</f>
        <v>0.37498967</v>
      </c>
      <c r="W153">
        <f>_xlfn.XLOOKUP(G153,'Kraken Trades'!$A$2:$A$28,'Kraken Trades'!$H$2:$H$28,"--",0)</f>
        <v>600.05846499999996</v>
      </c>
      <c r="X153">
        <f>_xlfn.XLOOKUP(G153,'Kraken Trades'!$A$2:$A$28,'Kraken Trades'!$I$2:$I$28,"--",0)</f>
        <v>1.5601520099999999</v>
      </c>
      <c r="Y153">
        <f>_xlfn.XLOOKUP(G153,'Kraken Trades'!$A$2:$A$28,'Kraken Trades'!$J$2:$J$28,"--",0)</f>
        <v>1600.2</v>
      </c>
      <c r="Z153">
        <f>_xlfn.XLOOKUP(G153,'Kraken Trades'!$A$2:$A$28,'Kraken Trades'!$K$2:$K$28,"--",0)</f>
        <v>0</v>
      </c>
      <c r="AA153" t="str">
        <f>_xlfn.XLOOKUP(G153,'Kraken Trades'!$A$2:$A$28,'Kraken Trades'!$L$2:$L$28,"--",0)</f>
        <v>initiated</v>
      </c>
      <c r="AB153" t="str">
        <f>_xlfn.XLOOKUP(G153,'Kraken Trades'!$A$2:$A$28,'Kraken Trades'!$M$2:$M$28,"--",0)</f>
        <v>LO53W2-FKVRJ-GGDHM2,LE3IRU-L5DT3-Z7WAUM,LWR65G-AZKQL-2ZI2FS</v>
      </c>
    </row>
    <row r="154" spans="1:28" x14ac:dyDescent="0.15">
      <c r="A154" s="78">
        <v>45104</v>
      </c>
      <c r="B154" t="s">
        <v>104</v>
      </c>
      <c r="E154" t="str">
        <f>_xlfn.XLOOKUP(D154,'DEST TAGs'!$A$2:$A$5,'DEST TAGs'!$B$2:$B$5,"--",0)</f>
        <v>--</v>
      </c>
      <c r="G154" t="s">
        <v>286</v>
      </c>
      <c r="H154" s="70">
        <v>45072.370138888888</v>
      </c>
      <c r="I154" t="s">
        <v>118</v>
      </c>
      <c r="K154" t="s">
        <v>107</v>
      </c>
      <c r="L154" t="s">
        <v>114</v>
      </c>
      <c r="M154">
        <v>-1600</v>
      </c>
      <c r="N154">
        <v>0.2</v>
      </c>
      <c r="P154" t="str">
        <f>_xlfn.XLOOKUP(G154,'Kraken Trades'!$A$2:$A$28,'Kraken Trades'!$A$2:$A$28,"--",0)</f>
        <v>--</v>
      </c>
      <c r="Q154" t="str">
        <f>_xlfn.XLOOKUP(G154,'Kraken Trades'!$A$2:$A$28,'Kraken Trades'!$B$2:$B$28,"--",0)</f>
        <v>--</v>
      </c>
      <c r="R154" t="str">
        <f>_xlfn.XLOOKUP(G154,'Kraken Trades'!$A$2:$A$28,'Kraken Trades'!$C$2:$C$28,"--",0)</f>
        <v>--</v>
      </c>
      <c r="S154" t="str">
        <f>_xlfn.XLOOKUP(G154,'Kraken Trades'!$A$2:$A$28,'Kraken Trades'!$D$2:$D$28,"--",0)</f>
        <v>--</v>
      </c>
      <c r="T154" t="str">
        <f>_xlfn.XLOOKUP(G154,'Kraken Trades'!$A$2:$A$28,'Kraken Trades'!$E$2:$E$28,"--",0)</f>
        <v>--</v>
      </c>
      <c r="U154" t="str">
        <f>_xlfn.XLOOKUP(G154,'Kraken Trades'!$A$2:$A$28,'Kraken Trades'!$F$2:$F$28,"--",0)</f>
        <v>--</v>
      </c>
      <c r="V154" t="str">
        <f>_xlfn.XLOOKUP(G154,'Kraken Trades'!$A$2:$A$28,'Kraken Trades'!$G$2:$G$28,"--",0)</f>
        <v>--</v>
      </c>
      <c r="W154" t="str">
        <f>_xlfn.XLOOKUP(G154,'Kraken Trades'!$A$2:$A$28,'Kraken Trades'!$H$2:$H$28,"--",0)</f>
        <v>--</v>
      </c>
      <c r="X154" t="str">
        <f>_xlfn.XLOOKUP(G154,'Kraken Trades'!$A$2:$A$28,'Kraken Trades'!$I$2:$I$28,"--",0)</f>
        <v>--</v>
      </c>
      <c r="Y154" t="str">
        <f>_xlfn.XLOOKUP(G154,'Kraken Trades'!$A$2:$A$28,'Kraken Trades'!$J$2:$J$28,"--",0)</f>
        <v>--</v>
      </c>
      <c r="Z154" t="str">
        <f>_xlfn.XLOOKUP(G154,'Kraken Trades'!$A$2:$A$28,'Kraken Trades'!$K$2:$K$28,"--",0)</f>
        <v>--</v>
      </c>
      <c r="AA154" t="str">
        <f>_xlfn.XLOOKUP(G154,'Kraken Trades'!$A$2:$A$28,'Kraken Trades'!$L$2:$L$28,"--",0)</f>
        <v>--</v>
      </c>
      <c r="AB154" t="str">
        <f>_xlfn.XLOOKUP(G154,'Kraken Trades'!$A$2:$A$28,'Kraken Trades'!$M$2:$M$28,"--",0)</f>
        <v>--</v>
      </c>
    </row>
    <row r="155" spans="1:28" x14ac:dyDescent="0.15">
      <c r="A155" s="78">
        <v>45104</v>
      </c>
      <c r="B155" t="s">
        <v>104</v>
      </c>
      <c r="C155" s="77" t="s">
        <v>72</v>
      </c>
      <c r="D155">
        <v>373650723</v>
      </c>
      <c r="E155" t="str">
        <f>_xlfn.XLOOKUP(D155,'DEST TAGs'!$A$2:$A$5,'DEST TAGs'!$B$2:$B$5,"--",0)</f>
        <v>Ivan Maltsev</v>
      </c>
      <c r="F155" t="s">
        <v>287</v>
      </c>
      <c r="G155" t="s">
        <v>286</v>
      </c>
      <c r="H155" s="70">
        <v>45072.371527777781</v>
      </c>
      <c r="I155" t="s">
        <v>118</v>
      </c>
      <c r="K155" t="s">
        <v>107</v>
      </c>
      <c r="L155" t="s">
        <v>114</v>
      </c>
      <c r="M155">
        <v>-1600</v>
      </c>
      <c r="N155">
        <v>0.2</v>
      </c>
      <c r="O155">
        <v>0.24944334000000001</v>
      </c>
      <c r="P155" t="str">
        <f>_xlfn.XLOOKUP(G155,'Kraken Trades'!$A$2:$A$28,'Kraken Trades'!$A$2:$A$28,"--",0)</f>
        <v>--</v>
      </c>
      <c r="Q155" t="str">
        <f>_xlfn.XLOOKUP(G155,'Kraken Trades'!$A$2:$A$28,'Kraken Trades'!$B$2:$B$28,"--",0)</f>
        <v>--</v>
      </c>
      <c r="R155" t="str">
        <f>_xlfn.XLOOKUP(G155,'Kraken Trades'!$A$2:$A$28,'Kraken Trades'!$C$2:$C$28,"--",0)</f>
        <v>--</v>
      </c>
      <c r="S155" t="str">
        <f>_xlfn.XLOOKUP(G155,'Kraken Trades'!$A$2:$A$28,'Kraken Trades'!$D$2:$D$28,"--",0)</f>
        <v>--</v>
      </c>
      <c r="T155" t="str">
        <f>_xlfn.XLOOKUP(G155,'Kraken Trades'!$A$2:$A$28,'Kraken Trades'!$E$2:$E$28,"--",0)</f>
        <v>--</v>
      </c>
      <c r="U155" t="str">
        <f>_xlfn.XLOOKUP(G155,'Kraken Trades'!$A$2:$A$28,'Kraken Trades'!$F$2:$F$28,"--",0)</f>
        <v>--</v>
      </c>
      <c r="V155" t="str">
        <f>_xlfn.XLOOKUP(G155,'Kraken Trades'!$A$2:$A$28,'Kraken Trades'!$G$2:$G$28,"--",0)</f>
        <v>--</v>
      </c>
      <c r="W155" t="str">
        <f>_xlfn.XLOOKUP(G155,'Kraken Trades'!$A$2:$A$28,'Kraken Trades'!$H$2:$H$28,"--",0)</f>
        <v>--</v>
      </c>
      <c r="X155" t="str">
        <f>_xlfn.XLOOKUP(G155,'Kraken Trades'!$A$2:$A$28,'Kraken Trades'!$I$2:$I$28,"--",0)</f>
        <v>--</v>
      </c>
      <c r="Y155" t="str">
        <f>_xlfn.XLOOKUP(G155,'Kraken Trades'!$A$2:$A$28,'Kraken Trades'!$J$2:$J$28,"--",0)</f>
        <v>--</v>
      </c>
      <c r="Z155" t="str">
        <f>_xlfn.XLOOKUP(G155,'Kraken Trades'!$A$2:$A$28,'Kraken Trades'!$K$2:$K$28,"--",0)</f>
        <v>--</v>
      </c>
      <c r="AA155" t="str">
        <f>_xlfn.XLOOKUP(G155,'Kraken Trades'!$A$2:$A$28,'Kraken Trades'!$L$2:$L$28,"--",0)</f>
        <v>--</v>
      </c>
      <c r="AB155" t="str">
        <f>_xlfn.XLOOKUP(G155,'Kraken Trades'!$A$2:$A$28,'Kraken Trades'!$M$2:$M$28,"--",0)</f>
        <v>--</v>
      </c>
    </row>
    <row r="156" spans="1:28" x14ac:dyDescent="0.15">
      <c r="A156" s="78">
        <v>45104</v>
      </c>
      <c r="B156" t="s">
        <v>104</v>
      </c>
      <c r="E156" t="str">
        <f>_xlfn.XLOOKUP(D156,'DEST TAGs'!$A$2:$A$5,'DEST TAGs'!$B$2:$B$5,"--",0)</f>
        <v>--</v>
      </c>
      <c r="G156" t="s">
        <v>288</v>
      </c>
      <c r="H156" s="70">
        <v>45076.63958333333</v>
      </c>
      <c r="I156" t="s">
        <v>106</v>
      </c>
      <c r="K156" t="s">
        <v>107</v>
      </c>
      <c r="L156" t="s">
        <v>108</v>
      </c>
      <c r="M156">
        <v>650</v>
      </c>
      <c r="N156">
        <v>0</v>
      </c>
      <c r="P156" t="str">
        <f>_xlfn.XLOOKUP(G156,'Kraken Trades'!$A$2:$A$28,'Kraken Trades'!$A$2:$A$28,"--",0)</f>
        <v>--</v>
      </c>
      <c r="Q156" t="str">
        <f>_xlfn.XLOOKUP(G156,'Kraken Trades'!$A$2:$A$28,'Kraken Trades'!$B$2:$B$28,"--",0)</f>
        <v>--</v>
      </c>
      <c r="R156" t="str">
        <f>_xlfn.XLOOKUP(G156,'Kraken Trades'!$A$2:$A$28,'Kraken Trades'!$C$2:$C$28,"--",0)</f>
        <v>--</v>
      </c>
      <c r="S156" t="str">
        <f>_xlfn.XLOOKUP(G156,'Kraken Trades'!$A$2:$A$28,'Kraken Trades'!$D$2:$D$28,"--",0)</f>
        <v>--</v>
      </c>
      <c r="T156" t="str">
        <f>_xlfn.XLOOKUP(G156,'Kraken Trades'!$A$2:$A$28,'Kraken Trades'!$E$2:$E$28,"--",0)</f>
        <v>--</v>
      </c>
      <c r="U156" t="str">
        <f>_xlfn.XLOOKUP(G156,'Kraken Trades'!$A$2:$A$28,'Kraken Trades'!$F$2:$F$28,"--",0)</f>
        <v>--</v>
      </c>
      <c r="V156" t="str">
        <f>_xlfn.XLOOKUP(G156,'Kraken Trades'!$A$2:$A$28,'Kraken Trades'!$G$2:$G$28,"--",0)</f>
        <v>--</v>
      </c>
      <c r="W156" t="str">
        <f>_xlfn.XLOOKUP(G156,'Kraken Trades'!$A$2:$A$28,'Kraken Trades'!$H$2:$H$28,"--",0)</f>
        <v>--</v>
      </c>
      <c r="X156" t="str">
        <f>_xlfn.XLOOKUP(G156,'Kraken Trades'!$A$2:$A$28,'Kraken Trades'!$I$2:$I$28,"--",0)</f>
        <v>--</v>
      </c>
      <c r="Y156" t="str">
        <f>_xlfn.XLOOKUP(G156,'Kraken Trades'!$A$2:$A$28,'Kraken Trades'!$J$2:$J$28,"--",0)</f>
        <v>--</v>
      </c>
      <c r="Z156" t="str">
        <f>_xlfn.XLOOKUP(G156,'Kraken Trades'!$A$2:$A$28,'Kraken Trades'!$K$2:$K$28,"--",0)</f>
        <v>--</v>
      </c>
      <c r="AA156" t="str">
        <f>_xlfn.XLOOKUP(G156,'Kraken Trades'!$A$2:$A$28,'Kraken Trades'!$L$2:$L$28,"--",0)</f>
        <v>--</v>
      </c>
      <c r="AB156" t="str">
        <f>_xlfn.XLOOKUP(G156,'Kraken Trades'!$A$2:$A$28,'Kraken Trades'!$M$2:$M$28,"--",0)</f>
        <v>--</v>
      </c>
    </row>
    <row r="157" spans="1:28" x14ac:dyDescent="0.15">
      <c r="A157" s="78">
        <v>45104</v>
      </c>
      <c r="B157" t="s">
        <v>104</v>
      </c>
      <c r="E157" t="str">
        <f>_xlfn.XLOOKUP(D157,'DEST TAGs'!$A$2:$A$5,'DEST TAGs'!$B$2:$B$5,"--",0)</f>
        <v>--</v>
      </c>
      <c r="F157" t="s">
        <v>289</v>
      </c>
      <c r="G157" t="s">
        <v>288</v>
      </c>
      <c r="H157" s="70">
        <v>45076.794444444444</v>
      </c>
      <c r="I157" t="s">
        <v>106</v>
      </c>
      <c r="K157" t="s">
        <v>107</v>
      </c>
      <c r="L157" t="s">
        <v>108</v>
      </c>
      <c r="M157">
        <v>650</v>
      </c>
      <c r="N157">
        <v>0</v>
      </c>
      <c r="O157">
        <v>787.2482</v>
      </c>
      <c r="P157" t="str">
        <f>_xlfn.XLOOKUP(G157,'Kraken Trades'!$A$2:$A$28,'Kraken Trades'!$A$2:$A$28,"--",0)</f>
        <v>--</v>
      </c>
      <c r="Q157" t="str">
        <f>_xlfn.XLOOKUP(G157,'Kraken Trades'!$A$2:$A$28,'Kraken Trades'!$B$2:$B$28,"--",0)</f>
        <v>--</v>
      </c>
      <c r="R157" t="str">
        <f>_xlfn.XLOOKUP(G157,'Kraken Trades'!$A$2:$A$28,'Kraken Trades'!$C$2:$C$28,"--",0)</f>
        <v>--</v>
      </c>
      <c r="S157" t="str">
        <f>_xlfn.XLOOKUP(G157,'Kraken Trades'!$A$2:$A$28,'Kraken Trades'!$D$2:$D$28,"--",0)</f>
        <v>--</v>
      </c>
      <c r="T157" t="str">
        <f>_xlfn.XLOOKUP(G157,'Kraken Trades'!$A$2:$A$28,'Kraken Trades'!$E$2:$E$28,"--",0)</f>
        <v>--</v>
      </c>
      <c r="U157" t="str">
        <f>_xlfn.XLOOKUP(G157,'Kraken Trades'!$A$2:$A$28,'Kraken Trades'!$F$2:$F$28,"--",0)</f>
        <v>--</v>
      </c>
      <c r="V157" t="str">
        <f>_xlfn.XLOOKUP(G157,'Kraken Trades'!$A$2:$A$28,'Kraken Trades'!$G$2:$G$28,"--",0)</f>
        <v>--</v>
      </c>
      <c r="W157" t="str">
        <f>_xlfn.XLOOKUP(G157,'Kraken Trades'!$A$2:$A$28,'Kraken Trades'!$H$2:$H$28,"--",0)</f>
        <v>--</v>
      </c>
      <c r="X157" t="str">
        <f>_xlfn.XLOOKUP(G157,'Kraken Trades'!$A$2:$A$28,'Kraken Trades'!$I$2:$I$28,"--",0)</f>
        <v>--</v>
      </c>
      <c r="Y157" t="str">
        <f>_xlfn.XLOOKUP(G157,'Kraken Trades'!$A$2:$A$28,'Kraken Trades'!$J$2:$J$28,"--",0)</f>
        <v>--</v>
      </c>
      <c r="Z157" t="str">
        <f>_xlfn.XLOOKUP(G157,'Kraken Trades'!$A$2:$A$28,'Kraken Trades'!$K$2:$K$28,"--",0)</f>
        <v>--</v>
      </c>
      <c r="AA157" t="str">
        <f>_xlfn.XLOOKUP(G157,'Kraken Trades'!$A$2:$A$28,'Kraken Trades'!$L$2:$L$28,"--",0)</f>
        <v>--</v>
      </c>
      <c r="AB157" t="str">
        <f>_xlfn.XLOOKUP(G157,'Kraken Trades'!$A$2:$A$28,'Kraken Trades'!$M$2:$M$28,"--",0)</f>
        <v>--</v>
      </c>
    </row>
    <row r="158" spans="1:28" x14ac:dyDescent="0.15">
      <c r="A158" s="78">
        <v>45104</v>
      </c>
      <c r="B158" t="s">
        <v>104</v>
      </c>
      <c r="E158" t="str">
        <f>_xlfn.XLOOKUP(D158,'DEST TAGs'!$A$2:$A$5,'DEST TAGs'!$B$2:$B$5,"--",0)</f>
        <v>--</v>
      </c>
      <c r="F158" t="s">
        <v>290</v>
      </c>
      <c r="G158" t="s">
        <v>291</v>
      </c>
      <c r="H158" s="70">
        <v>45076.850694444445</v>
      </c>
      <c r="I158" t="s">
        <v>112</v>
      </c>
      <c r="K158" t="s">
        <v>107</v>
      </c>
      <c r="L158" t="s">
        <v>108</v>
      </c>
      <c r="M158">
        <v>-726.09460000000001</v>
      </c>
      <c r="N158">
        <v>0</v>
      </c>
      <c r="O158">
        <v>61.153599999999997</v>
      </c>
      <c r="P158" t="str">
        <f>_xlfn.XLOOKUP(G158,'Kraken Trades'!$A$2:$A$28,'Kraken Trades'!$A$2:$A$28,"--",0)</f>
        <v>TTT62Y-WCEOA-HNUNF7</v>
      </c>
      <c r="Q158" t="str">
        <f>_xlfn.XLOOKUP(G158,'Kraken Trades'!$A$2:$A$28,'Kraken Trades'!$B$2:$B$28,"--",0)</f>
        <v>OE7K43-G35A3-32R6Z7</v>
      </c>
      <c r="R158" t="str">
        <f>_xlfn.XLOOKUP(G158,'Kraken Trades'!$A$2:$A$28,'Kraken Trades'!$C$2:$C$28,"--",0)</f>
        <v>XRPGBP</v>
      </c>
      <c r="S158">
        <f>_xlfn.XLOOKUP(G158,'Kraken Trades'!$A$2:$A$28,'Kraken Trades'!$D$2:$D$28,"--",0)</f>
        <v>1.7478009259259259E-2</v>
      </c>
      <c r="T158" t="str">
        <f>_xlfn.XLOOKUP(G158,'Kraken Trades'!$A$2:$A$28,'Kraken Trades'!$E$2:$E$28,"--",0)</f>
        <v>buy</v>
      </c>
      <c r="U158" t="str">
        <f>_xlfn.XLOOKUP(G158,'Kraken Trades'!$A$2:$A$28,'Kraken Trades'!$F$2:$F$28,"--",0)</f>
        <v>market</v>
      </c>
      <c r="V158">
        <f>_xlfn.XLOOKUP(G158,'Kraken Trades'!$A$2:$A$28,'Kraken Trades'!$G$2:$G$28,"--",0)</f>
        <v>0.42087564</v>
      </c>
      <c r="W158">
        <f>_xlfn.XLOOKUP(G158,'Kraken Trades'!$A$2:$A$28,'Kraken Trades'!$H$2:$H$28,"--",0)</f>
        <v>726.09465230000001</v>
      </c>
      <c r="X158">
        <f>_xlfn.XLOOKUP(G158,'Kraken Trades'!$A$2:$A$28,'Kraken Trades'!$I$2:$I$28,"--",0)</f>
        <v>1.8878461</v>
      </c>
      <c r="Y158">
        <f>_xlfn.XLOOKUP(G158,'Kraken Trades'!$A$2:$A$28,'Kraken Trades'!$J$2:$J$28,"--",0)</f>
        <v>1725.2</v>
      </c>
      <c r="Z158">
        <f>_xlfn.XLOOKUP(G158,'Kraken Trades'!$A$2:$A$28,'Kraken Trades'!$K$2:$K$28,"--",0)</f>
        <v>0</v>
      </c>
      <c r="AA158" t="str">
        <f>_xlfn.XLOOKUP(G158,'Kraken Trades'!$A$2:$A$28,'Kraken Trades'!$L$2:$L$28,"--",0)</f>
        <v>initiated</v>
      </c>
      <c r="AB158" t="str">
        <f>_xlfn.XLOOKUP(G158,'Kraken Trades'!$A$2:$A$28,'Kraken Trades'!$M$2:$M$28,"--",0)</f>
        <v>LUUEKH-L2ELB-2DDEFN,LQTKDD-II7GJ-HAKJ3I,LVBF3Z-4GOWR-YMRUTA</v>
      </c>
    </row>
    <row r="159" spans="1:28" x14ac:dyDescent="0.15">
      <c r="A159" s="78">
        <v>45104</v>
      </c>
      <c r="B159" t="s">
        <v>104</v>
      </c>
      <c r="E159" t="str">
        <f>_xlfn.XLOOKUP(D159,'DEST TAGs'!$A$2:$A$5,'DEST TAGs'!$B$2:$B$5,"--",0)</f>
        <v>--</v>
      </c>
      <c r="F159" t="s">
        <v>292</v>
      </c>
      <c r="G159" t="s">
        <v>291</v>
      </c>
      <c r="H159" s="70">
        <v>45076.850694444445</v>
      </c>
      <c r="I159" t="s">
        <v>112</v>
      </c>
      <c r="K159" t="s">
        <v>107</v>
      </c>
      <c r="L159" t="s">
        <v>114</v>
      </c>
      <c r="M159">
        <v>1725.2</v>
      </c>
      <c r="N159">
        <v>0</v>
      </c>
      <c r="O159">
        <v>1725.449443</v>
      </c>
      <c r="P159" t="str">
        <f>_xlfn.XLOOKUP(G159,'Kraken Trades'!$A$2:$A$28,'Kraken Trades'!$A$2:$A$28,"--",0)</f>
        <v>TTT62Y-WCEOA-HNUNF7</v>
      </c>
      <c r="Q159" t="str">
        <f>_xlfn.XLOOKUP(G159,'Kraken Trades'!$A$2:$A$28,'Kraken Trades'!$B$2:$B$28,"--",0)</f>
        <v>OE7K43-G35A3-32R6Z7</v>
      </c>
      <c r="R159" t="str">
        <f>_xlfn.XLOOKUP(G159,'Kraken Trades'!$A$2:$A$28,'Kraken Trades'!$C$2:$C$28,"--",0)</f>
        <v>XRPGBP</v>
      </c>
      <c r="S159">
        <f>_xlfn.XLOOKUP(G159,'Kraken Trades'!$A$2:$A$28,'Kraken Trades'!$D$2:$D$28,"--",0)</f>
        <v>1.7478009259259259E-2</v>
      </c>
      <c r="T159" t="str">
        <f>_xlfn.XLOOKUP(G159,'Kraken Trades'!$A$2:$A$28,'Kraken Trades'!$E$2:$E$28,"--",0)</f>
        <v>buy</v>
      </c>
      <c r="U159" t="str">
        <f>_xlfn.XLOOKUP(G159,'Kraken Trades'!$A$2:$A$28,'Kraken Trades'!$F$2:$F$28,"--",0)</f>
        <v>market</v>
      </c>
      <c r="V159">
        <f>_xlfn.XLOOKUP(G159,'Kraken Trades'!$A$2:$A$28,'Kraken Trades'!$G$2:$G$28,"--",0)</f>
        <v>0.42087564</v>
      </c>
      <c r="W159">
        <f>_xlfn.XLOOKUP(G159,'Kraken Trades'!$A$2:$A$28,'Kraken Trades'!$H$2:$H$28,"--",0)</f>
        <v>726.09465230000001</v>
      </c>
      <c r="X159">
        <f>_xlfn.XLOOKUP(G159,'Kraken Trades'!$A$2:$A$28,'Kraken Trades'!$I$2:$I$28,"--",0)</f>
        <v>1.8878461</v>
      </c>
      <c r="Y159">
        <f>_xlfn.XLOOKUP(G159,'Kraken Trades'!$A$2:$A$28,'Kraken Trades'!$J$2:$J$28,"--",0)</f>
        <v>1725.2</v>
      </c>
      <c r="Z159">
        <f>_xlfn.XLOOKUP(G159,'Kraken Trades'!$A$2:$A$28,'Kraken Trades'!$K$2:$K$28,"--",0)</f>
        <v>0</v>
      </c>
      <c r="AA159" t="str">
        <f>_xlfn.XLOOKUP(G159,'Kraken Trades'!$A$2:$A$28,'Kraken Trades'!$L$2:$L$28,"--",0)</f>
        <v>initiated</v>
      </c>
      <c r="AB159" t="str">
        <f>_xlfn.XLOOKUP(G159,'Kraken Trades'!$A$2:$A$28,'Kraken Trades'!$M$2:$M$28,"--",0)</f>
        <v>LUUEKH-L2ELB-2DDEFN,LQTKDD-II7GJ-HAKJ3I,LVBF3Z-4GOWR-YMRUTA</v>
      </c>
    </row>
    <row r="160" spans="1:28" x14ac:dyDescent="0.15">
      <c r="A160" s="78">
        <v>45104</v>
      </c>
      <c r="B160" t="s">
        <v>104</v>
      </c>
      <c r="E160" t="str">
        <f>_xlfn.XLOOKUP(D160,'DEST TAGs'!$A$2:$A$5,'DEST TAGs'!$B$2:$B$5,"--",0)</f>
        <v>--</v>
      </c>
      <c r="F160" t="s">
        <v>293</v>
      </c>
      <c r="G160" t="s">
        <v>291</v>
      </c>
      <c r="H160" s="70">
        <v>45076.850694444445</v>
      </c>
      <c r="I160" t="s">
        <v>112</v>
      </c>
      <c r="K160" t="s">
        <v>107</v>
      </c>
      <c r="L160" t="s">
        <v>116</v>
      </c>
      <c r="M160">
        <v>0</v>
      </c>
      <c r="N160">
        <v>234.21</v>
      </c>
      <c r="O160">
        <v>1949.82</v>
      </c>
      <c r="P160" t="str">
        <f>_xlfn.XLOOKUP(G160,'Kraken Trades'!$A$2:$A$28,'Kraken Trades'!$A$2:$A$28,"--",0)</f>
        <v>TTT62Y-WCEOA-HNUNF7</v>
      </c>
      <c r="Q160" t="str">
        <f>_xlfn.XLOOKUP(G160,'Kraken Trades'!$A$2:$A$28,'Kraken Trades'!$B$2:$B$28,"--",0)</f>
        <v>OE7K43-G35A3-32R6Z7</v>
      </c>
      <c r="R160" t="str">
        <f>_xlfn.XLOOKUP(G160,'Kraken Trades'!$A$2:$A$28,'Kraken Trades'!$C$2:$C$28,"--",0)</f>
        <v>XRPGBP</v>
      </c>
      <c r="S160">
        <f>_xlfn.XLOOKUP(G160,'Kraken Trades'!$A$2:$A$28,'Kraken Trades'!$D$2:$D$28,"--",0)</f>
        <v>1.7478009259259259E-2</v>
      </c>
      <c r="T160" t="str">
        <f>_xlfn.XLOOKUP(G160,'Kraken Trades'!$A$2:$A$28,'Kraken Trades'!$E$2:$E$28,"--",0)</f>
        <v>buy</v>
      </c>
      <c r="U160" t="str">
        <f>_xlfn.XLOOKUP(G160,'Kraken Trades'!$A$2:$A$28,'Kraken Trades'!$F$2:$F$28,"--",0)</f>
        <v>market</v>
      </c>
      <c r="V160">
        <f>_xlfn.XLOOKUP(G160,'Kraken Trades'!$A$2:$A$28,'Kraken Trades'!$G$2:$G$28,"--",0)</f>
        <v>0.42087564</v>
      </c>
      <c r="W160">
        <f>_xlfn.XLOOKUP(G160,'Kraken Trades'!$A$2:$A$28,'Kraken Trades'!$H$2:$H$28,"--",0)</f>
        <v>726.09465230000001</v>
      </c>
      <c r="X160">
        <f>_xlfn.XLOOKUP(G160,'Kraken Trades'!$A$2:$A$28,'Kraken Trades'!$I$2:$I$28,"--",0)</f>
        <v>1.8878461</v>
      </c>
      <c r="Y160">
        <f>_xlfn.XLOOKUP(G160,'Kraken Trades'!$A$2:$A$28,'Kraken Trades'!$J$2:$J$28,"--",0)</f>
        <v>1725.2</v>
      </c>
      <c r="Z160">
        <f>_xlfn.XLOOKUP(G160,'Kraken Trades'!$A$2:$A$28,'Kraken Trades'!$K$2:$K$28,"--",0)</f>
        <v>0</v>
      </c>
      <c r="AA160" t="str">
        <f>_xlfn.XLOOKUP(G160,'Kraken Trades'!$A$2:$A$28,'Kraken Trades'!$L$2:$L$28,"--",0)</f>
        <v>initiated</v>
      </c>
      <c r="AB160" t="str">
        <f>_xlfn.XLOOKUP(G160,'Kraken Trades'!$A$2:$A$28,'Kraken Trades'!$M$2:$M$28,"--",0)</f>
        <v>LUUEKH-L2ELB-2DDEFN,LQTKDD-II7GJ-HAKJ3I,LVBF3Z-4GOWR-YMRUTA</v>
      </c>
    </row>
    <row r="161" spans="1:28" x14ac:dyDescent="0.15">
      <c r="A161" s="78">
        <v>45104</v>
      </c>
      <c r="B161" t="s">
        <v>104</v>
      </c>
      <c r="E161" t="str">
        <f>_xlfn.XLOOKUP(D161,'DEST TAGs'!$A$2:$A$5,'DEST TAGs'!$B$2:$B$5,"--",0)</f>
        <v>--</v>
      </c>
      <c r="G161" t="s">
        <v>294</v>
      </c>
      <c r="H161" s="70">
        <v>45076.850694444445</v>
      </c>
      <c r="I161" t="s">
        <v>118</v>
      </c>
      <c r="K161" t="s">
        <v>107</v>
      </c>
      <c r="L161" t="s">
        <v>114</v>
      </c>
      <c r="M161">
        <v>-1725</v>
      </c>
      <c r="N161">
        <v>0.2</v>
      </c>
      <c r="P161" t="str">
        <f>_xlfn.XLOOKUP(G161,'Kraken Trades'!$A$2:$A$28,'Kraken Trades'!$A$2:$A$28,"--",0)</f>
        <v>--</v>
      </c>
      <c r="Q161" t="str">
        <f>_xlfn.XLOOKUP(G161,'Kraken Trades'!$A$2:$A$28,'Kraken Trades'!$B$2:$B$28,"--",0)</f>
        <v>--</v>
      </c>
      <c r="R161" t="str">
        <f>_xlfn.XLOOKUP(G161,'Kraken Trades'!$A$2:$A$28,'Kraken Trades'!$C$2:$C$28,"--",0)</f>
        <v>--</v>
      </c>
      <c r="S161" t="str">
        <f>_xlfn.XLOOKUP(G161,'Kraken Trades'!$A$2:$A$28,'Kraken Trades'!$D$2:$D$28,"--",0)</f>
        <v>--</v>
      </c>
      <c r="T161" t="str">
        <f>_xlfn.XLOOKUP(G161,'Kraken Trades'!$A$2:$A$28,'Kraken Trades'!$E$2:$E$28,"--",0)</f>
        <v>--</v>
      </c>
      <c r="U161" t="str">
        <f>_xlfn.XLOOKUP(G161,'Kraken Trades'!$A$2:$A$28,'Kraken Trades'!$F$2:$F$28,"--",0)</f>
        <v>--</v>
      </c>
      <c r="V161" t="str">
        <f>_xlfn.XLOOKUP(G161,'Kraken Trades'!$A$2:$A$28,'Kraken Trades'!$G$2:$G$28,"--",0)</f>
        <v>--</v>
      </c>
      <c r="W161" t="str">
        <f>_xlfn.XLOOKUP(G161,'Kraken Trades'!$A$2:$A$28,'Kraken Trades'!$H$2:$H$28,"--",0)</f>
        <v>--</v>
      </c>
      <c r="X161" t="str">
        <f>_xlfn.XLOOKUP(G161,'Kraken Trades'!$A$2:$A$28,'Kraken Trades'!$I$2:$I$28,"--",0)</f>
        <v>--</v>
      </c>
      <c r="Y161" t="str">
        <f>_xlfn.XLOOKUP(G161,'Kraken Trades'!$A$2:$A$28,'Kraken Trades'!$J$2:$J$28,"--",0)</f>
        <v>--</v>
      </c>
      <c r="Z161" t="str">
        <f>_xlfn.XLOOKUP(G161,'Kraken Trades'!$A$2:$A$28,'Kraken Trades'!$K$2:$K$28,"--",0)</f>
        <v>--</v>
      </c>
      <c r="AA161" t="str">
        <f>_xlfn.XLOOKUP(G161,'Kraken Trades'!$A$2:$A$28,'Kraken Trades'!$L$2:$L$28,"--",0)</f>
        <v>--</v>
      </c>
      <c r="AB161" t="str">
        <f>_xlfn.XLOOKUP(G161,'Kraken Trades'!$A$2:$A$28,'Kraken Trades'!$M$2:$M$28,"--",0)</f>
        <v>--</v>
      </c>
    </row>
    <row r="162" spans="1:28" x14ac:dyDescent="0.15">
      <c r="A162" s="78">
        <v>45104</v>
      </c>
      <c r="B162" t="s">
        <v>104</v>
      </c>
      <c r="C162" s="77" t="s">
        <v>73</v>
      </c>
      <c r="D162">
        <v>373650723</v>
      </c>
      <c r="E162" t="str">
        <f>_xlfn.XLOOKUP(D162,'DEST TAGs'!$A$2:$A$5,'DEST TAGs'!$B$2:$B$5,"--",0)</f>
        <v>Ivan Maltsev</v>
      </c>
      <c r="F162" t="s">
        <v>295</v>
      </c>
      <c r="G162" t="s">
        <v>294</v>
      </c>
      <c r="H162" s="70">
        <v>45076.852083333331</v>
      </c>
      <c r="I162" t="s">
        <v>118</v>
      </c>
      <c r="K162" t="s">
        <v>107</v>
      </c>
      <c r="L162" t="s">
        <v>114</v>
      </c>
      <c r="M162">
        <v>-1725</v>
      </c>
      <c r="N162">
        <v>0.2</v>
      </c>
      <c r="O162">
        <v>0.24944334000000001</v>
      </c>
      <c r="P162" t="str">
        <f>_xlfn.XLOOKUP(G162,'Kraken Trades'!$A$2:$A$28,'Kraken Trades'!$A$2:$A$28,"--",0)</f>
        <v>--</v>
      </c>
      <c r="Q162" t="str">
        <f>_xlfn.XLOOKUP(G162,'Kraken Trades'!$A$2:$A$28,'Kraken Trades'!$B$2:$B$28,"--",0)</f>
        <v>--</v>
      </c>
      <c r="R162" t="str">
        <f>_xlfn.XLOOKUP(G162,'Kraken Trades'!$A$2:$A$28,'Kraken Trades'!$C$2:$C$28,"--",0)</f>
        <v>--</v>
      </c>
      <c r="S162" t="str">
        <f>_xlfn.XLOOKUP(G162,'Kraken Trades'!$A$2:$A$28,'Kraken Trades'!$D$2:$D$28,"--",0)</f>
        <v>--</v>
      </c>
      <c r="T162" t="str">
        <f>_xlfn.XLOOKUP(G162,'Kraken Trades'!$A$2:$A$28,'Kraken Trades'!$E$2:$E$28,"--",0)</f>
        <v>--</v>
      </c>
      <c r="U162" t="str">
        <f>_xlfn.XLOOKUP(G162,'Kraken Trades'!$A$2:$A$28,'Kraken Trades'!$F$2:$F$28,"--",0)</f>
        <v>--</v>
      </c>
      <c r="V162" t="str">
        <f>_xlfn.XLOOKUP(G162,'Kraken Trades'!$A$2:$A$28,'Kraken Trades'!$G$2:$G$28,"--",0)</f>
        <v>--</v>
      </c>
      <c r="W162" t="str">
        <f>_xlfn.XLOOKUP(G162,'Kraken Trades'!$A$2:$A$28,'Kraken Trades'!$H$2:$H$28,"--",0)</f>
        <v>--</v>
      </c>
      <c r="X162" t="str">
        <f>_xlfn.XLOOKUP(G162,'Kraken Trades'!$A$2:$A$28,'Kraken Trades'!$I$2:$I$28,"--",0)</f>
        <v>--</v>
      </c>
      <c r="Y162" t="str">
        <f>_xlfn.XLOOKUP(G162,'Kraken Trades'!$A$2:$A$28,'Kraken Trades'!$J$2:$J$28,"--",0)</f>
        <v>--</v>
      </c>
      <c r="Z162" t="str">
        <f>_xlfn.XLOOKUP(G162,'Kraken Trades'!$A$2:$A$28,'Kraken Trades'!$K$2:$K$28,"--",0)</f>
        <v>--</v>
      </c>
      <c r="AA162" t="str">
        <f>_xlfn.XLOOKUP(G162,'Kraken Trades'!$A$2:$A$28,'Kraken Trades'!$L$2:$L$28,"--",0)</f>
        <v>--</v>
      </c>
      <c r="AB162" t="str">
        <f>_xlfn.XLOOKUP(G162,'Kraken Trades'!$A$2:$A$28,'Kraken Trades'!$M$2:$M$28,"--",0)</f>
        <v>--</v>
      </c>
    </row>
    <row r="163" spans="1:28" x14ac:dyDescent="0.15">
      <c r="A163" s="78">
        <v>45104</v>
      </c>
      <c r="B163" t="s">
        <v>104</v>
      </c>
      <c r="E163" t="str">
        <f>_xlfn.XLOOKUP(D163,'DEST TAGs'!$A$2:$A$5,'DEST TAGs'!$B$2:$B$5,"--",0)</f>
        <v>--</v>
      </c>
      <c r="G163" t="s">
        <v>296</v>
      </c>
      <c r="H163" s="70">
        <v>44963.825694444444</v>
      </c>
      <c r="I163" t="s">
        <v>106</v>
      </c>
      <c r="K163" t="s">
        <v>107</v>
      </c>
      <c r="L163" t="s">
        <v>108</v>
      </c>
      <c r="M163">
        <v>2500</v>
      </c>
      <c r="N163">
        <v>0</v>
      </c>
      <c r="P163" t="str">
        <f>_xlfn.XLOOKUP(G163,'Kraken Trades'!$A$2:$A$28,'Kraken Trades'!$A$2:$A$28,"--",0)</f>
        <v>--</v>
      </c>
      <c r="Q163" t="str">
        <f>_xlfn.XLOOKUP(G163,'Kraken Trades'!$A$2:$A$28,'Kraken Trades'!$B$2:$B$28,"--",0)</f>
        <v>--</v>
      </c>
      <c r="R163" t="str">
        <f>_xlfn.XLOOKUP(G163,'Kraken Trades'!$A$2:$A$28,'Kraken Trades'!$C$2:$C$28,"--",0)</f>
        <v>--</v>
      </c>
      <c r="S163" t="str">
        <f>_xlfn.XLOOKUP(G163,'Kraken Trades'!$A$2:$A$28,'Kraken Trades'!$D$2:$D$28,"--",0)</f>
        <v>--</v>
      </c>
      <c r="T163" t="str">
        <f>_xlfn.XLOOKUP(G163,'Kraken Trades'!$A$2:$A$28,'Kraken Trades'!$E$2:$E$28,"--",0)</f>
        <v>--</v>
      </c>
      <c r="U163" t="str">
        <f>_xlfn.XLOOKUP(G163,'Kraken Trades'!$A$2:$A$28,'Kraken Trades'!$F$2:$F$28,"--",0)</f>
        <v>--</v>
      </c>
      <c r="V163" t="str">
        <f>_xlfn.XLOOKUP(G163,'Kraken Trades'!$A$2:$A$28,'Kraken Trades'!$G$2:$G$28,"--",0)</f>
        <v>--</v>
      </c>
      <c r="W163" t="str">
        <f>_xlfn.XLOOKUP(G163,'Kraken Trades'!$A$2:$A$28,'Kraken Trades'!$H$2:$H$28,"--",0)</f>
        <v>--</v>
      </c>
      <c r="X163" t="str">
        <f>_xlfn.XLOOKUP(G163,'Kraken Trades'!$A$2:$A$28,'Kraken Trades'!$I$2:$I$28,"--",0)</f>
        <v>--</v>
      </c>
      <c r="Y163" t="str">
        <f>_xlfn.XLOOKUP(G163,'Kraken Trades'!$A$2:$A$28,'Kraken Trades'!$J$2:$J$28,"--",0)</f>
        <v>--</v>
      </c>
      <c r="Z163" t="str">
        <f>_xlfn.XLOOKUP(G163,'Kraken Trades'!$A$2:$A$28,'Kraken Trades'!$K$2:$K$28,"--",0)</f>
        <v>--</v>
      </c>
      <c r="AA163" t="str">
        <f>_xlfn.XLOOKUP(G163,'Kraken Trades'!$A$2:$A$28,'Kraken Trades'!$L$2:$L$28,"--",0)</f>
        <v>--</v>
      </c>
      <c r="AB163" t="str">
        <f>_xlfn.XLOOKUP(G163,'Kraken Trades'!$A$2:$A$28,'Kraken Trades'!$M$2:$M$28,"--",0)</f>
        <v>--</v>
      </c>
    </row>
    <row r="164" spans="1:28" x14ac:dyDescent="0.15">
      <c r="A164" s="78">
        <v>45104</v>
      </c>
      <c r="B164" t="s">
        <v>104</v>
      </c>
      <c r="E164" t="str">
        <f>_xlfn.XLOOKUP(D164,'DEST TAGs'!$A$2:$A$5,'DEST TAGs'!$B$2:$B$5,"--",0)</f>
        <v>--</v>
      </c>
      <c r="F164" t="s">
        <v>297</v>
      </c>
      <c r="G164" t="s">
        <v>296</v>
      </c>
      <c r="H164" s="70">
        <v>44963.848611111112</v>
      </c>
      <c r="I164" t="s">
        <v>106</v>
      </c>
      <c r="K164" t="s">
        <v>107</v>
      </c>
      <c r="L164" t="s">
        <v>108</v>
      </c>
      <c r="M164">
        <v>2500</v>
      </c>
      <c r="N164">
        <v>0</v>
      </c>
      <c r="O164">
        <v>2561.1536000000001</v>
      </c>
      <c r="P164" t="str">
        <f>_xlfn.XLOOKUP(G164,'Kraken Trades'!$A$2:$A$28,'Kraken Trades'!$A$2:$A$28,"--",0)</f>
        <v>--</v>
      </c>
      <c r="Q164" t="str">
        <f>_xlfn.XLOOKUP(G164,'Kraken Trades'!$A$2:$A$28,'Kraken Trades'!$B$2:$B$28,"--",0)</f>
        <v>--</v>
      </c>
      <c r="R164" t="str">
        <f>_xlfn.XLOOKUP(G164,'Kraken Trades'!$A$2:$A$28,'Kraken Trades'!$C$2:$C$28,"--",0)</f>
        <v>--</v>
      </c>
      <c r="S164" t="str">
        <f>_xlfn.XLOOKUP(G164,'Kraken Trades'!$A$2:$A$28,'Kraken Trades'!$D$2:$D$28,"--",0)</f>
        <v>--</v>
      </c>
      <c r="T164" t="str">
        <f>_xlfn.XLOOKUP(G164,'Kraken Trades'!$A$2:$A$28,'Kraken Trades'!$E$2:$E$28,"--",0)</f>
        <v>--</v>
      </c>
      <c r="U164" t="str">
        <f>_xlfn.XLOOKUP(G164,'Kraken Trades'!$A$2:$A$28,'Kraken Trades'!$F$2:$F$28,"--",0)</f>
        <v>--</v>
      </c>
      <c r="V164" t="str">
        <f>_xlfn.XLOOKUP(G164,'Kraken Trades'!$A$2:$A$28,'Kraken Trades'!$G$2:$G$28,"--",0)</f>
        <v>--</v>
      </c>
      <c r="W164" t="str">
        <f>_xlfn.XLOOKUP(G164,'Kraken Trades'!$A$2:$A$28,'Kraken Trades'!$H$2:$H$28,"--",0)</f>
        <v>--</v>
      </c>
      <c r="X164" t="str">
        <f>_xlfn.XLOOKUP(G164,'Kraken Trades'!$A$2:$A$28,'Kraken Trades'!$I$2:$I$28,"--",0)</f>
        <v>--</v>
      </c>
      <c r="Y164" t="str">
        <f>_xlfn.XLOOKUP(G164,'Kraken Trades'!$A$2:$A$28,'Kraken Trades'!$J$2:$J$28,"--",0)</f>
        <v>--</v>
      </c>
      <c r="Z164" t="str">
        <f>_xlfn.XLOOKUP(G164,'Kraken Trades'!$A$2:$A$28,'Kraken Trades'!$K$2:$K$28,"--",0)</f>
        <v>--</v>
      </c>
      <c r="AA164" t="str">
        <f>_xlfn.XLOOKUP(G164,'Kraken Trades'!$A$2:$A$28,'Kraken Trades'!$L$2:$L$28,"--",0)</f>
        <v>--</v>
      </c>
      <c r="AB164" t="str">
        <f>_xlfn.XLOOKUP(G164,'Kraken Trades'!$A$2:$A$28,'Kraken Trades'!$M$2:$M$28,"--",0)</f>
        <v>--</v>
      </c>
    </row>
    <row r="165" spans="1:28" x14ac:dyDescent="0.15">
      <c r="A165" s="78">
        <v>45104</v>
      </c>
      <c r="B165" t="s">
        <v>104</v>
      </c>
      <c r="E165" t="str">
        <f>_xlfn.XLOOKUP(D165,'DEST TAGs'!$A$2:$A$5,'DEST TAGs'!$B$2:$B$5,"--",0)</f>
        <v>--</v>
      </c>
      <c r="F165" t="s">
        <v>298</v>
      </c>
      <c r="G165" t="s">
        <v>299</v>
      </c>
      <c r="H165" s="70">
        <v>44991.375694444447</v>
      </c>
      <c r="I165" t="s">
        <v>300</v>
      </c>
      <c r="K165" t="s">
        <v>107</v>
      </c>
      <c r="L165" t="s">
        <v>108</v>
      </c>
      <c r="M165">
        <v>-2465.21</v>
      </c>
      <c r="N165">
        <v>36.979999999999997</v>
      </c>
      <c r="O165">
        <v>58.9636</v>
      </c>
      <c r="P165" t="str">
        <f>_xlfn.XLOOKUP(G165,'Kraken Trades'!$A$2:$A$28,'Kraken Trades'!$A$2:$A$28,"--",0)</f>
        <v>--</v>
      </c>
      <c r="Q165" t="str">
        <f>_xlfn.XLOOKUP(G165,'Kraken Trades'!$A$2:$A$28,'Kraken Trades'!$B$2:$B$28,"--",0)</f>
        <v>--</v>
      </c>
      <c r="R165" t="str">
        <f>_xlfn.XLOOKUP(G165,'Kraken Trades'!$A$2:$A$28,'Kraken Trades'!$C$2:$C$28,"--",0)</f>
        <v>--</v>
      </c>
      <c r="S165" t="str">
        <f>_xlfn.XLOOKUP(G165,'Kraken Trades'!$A$2:$A$28,'Kraken Trades'!$D$2:$D$28,"--",0)</f>
        <v>--</v>
      </c>
      <c r="T165" t="str">
        <f>_xlfn.XLOOKUP(G165,'Kraken Trades'!$A$2:$A$28,'Kraken Trades'!$E$2:$E$28,"--",0)</f>
        <v>--</v>
      </c>
      <c r="U165" t="str">
        <f>_xlfn.XLOOKUP(G165,'Kraken Trades'!$A$2:$A$28,'Kraken Trades'!$F$2:$F$28,"--",0)</f>
        <v>--</v>
      </c>
      <c r="V165" t="str">
        <f>_xlfn.XLOOKUP(G165,'Kraken Trades'!$A$2:$A$28,'Kraken Trades'!$G$2:$G$28,"--",0)</f>
        <v>--</v>
      </c>
      <c r="W165" t="str">
        <f>_xlfn.XLOOKUP(G165,'Kraken Trades'!$A$2:$A$28,'Kraken Trades'!$H$2:$H$28,"--",0)</f>
        <v>--</v>
      </c>
      <c r="X165" t="str">
        <f>_xlfn.XLOOKUP(G165,'Kraken Trades'!$A$2:$A$28,'Kraken Trades'!$I$2:$I$28,"--",0)</f>
        <v>--</v>
      </c>
      <c r="Y165" t="str">
        <f>_xlfn.XLOOKUP(G165,'Kraken Trades'!$A$2:$A$28,'Kraken Trades'!$J$2:$J$28,"--",0)</f>
        <v>--</v>
      </c>
      <c r="Z165" t="str">
        <f>_xlfn.XLOOKUP(G165,'Kraken Trades'!$A$2:$A$28,'Kraken Trades'!$K$2:$K$28,"--",0)</f>
        <v>--</v>
      </c>
      <c r="AA165" t="str">
        <f>_xlfn.XLOOKUP(G165,'Kraken Trades'!$A$2:$A$28,'Kraken Trades'!$L$2:$L$28,"--",0)</f>
        <v>--</v>
      </c>
      <c r="AB165" t="str">
        <f>_xlfn.XLOOKUP(G165,'Kraken Trades'!$A$2:$A$28,'Kraken Trades'!$M$2:$M$28,"--",0)</f>
        <v>--</v>
      </c>
    </row>
    <row r="166" spans="1:28" x14ac:dyDescent="0.15">
      <c r="A166" s="78">
        <v>45104</v>
      </c>
      <c r="B166" t="s">
        <v>104</v>
      </c>
      <c r="E166" t="str">
        <f>_xlfn.XLOOKUP(D166,'DEST TAGs'!$A$2:$A$5,'DEST TAGs'!$B$2:$B$5,"--",0)</f>
        <v>--</v>
      </c>
      <c r="F166" t="s">
        <v>301</v>
      </c>
      <c r="G166" t="s">
        <v>299</v>
      </c>
      <c r="H166" s="70">
        <v>44991.375694444447</v>
      </c>
      <c r="I166" t="s">
        <v>302</v>
      </c>
      <c r="K166" t="s">
        <v>107</v>
      </c>
      <c r="L166" t="s">
        <v>114</v>
      </c>
      <c r="M166">
        <v>5860.2</v>
      </c>
      <c r="N166">
        <v>0</v>
      </c>
      <c r="O166">
        <v>5860.4494430000004</v>
      </c>
      <c r="P166" t="str">
        <f>_xlfn.XLOOKUP(G166,'Kraken Trades'!$A$2:$A$28,'Kraken Trades'!$A$2:$A$28,"--",0)</f>
        <v>--</v>
      </c>
      <c r="Q166" t="str">
        <f>_xlfn.XLOOKUP(G166,'Kraken Trades'!$A$2:$A$28,'Kraken Trades'!$B$2:$B$28,"--",0)</f>
        <v>--</v>
      </c>
      <c r="R166" t="str">
        <f>_xlfn.XLOOKUP(G166,'Kraken Trades'!$A$2:$A$28,'Kraken Trades'!$C$2:$C$28,"--",0)</f>
        <v>--</v>
      </c>
      <c r="S166" t="str">
        <f>_xlfn.XLOOKUP(G166,'Kraken Trades'!$A$2:$A$28,'Kraken Trades'!$D$2:$D$28,"--",0)</f>
        <v>--</v>
      </c>
      <c r="T166" t="str">
        <f>_xlfn.XLOOKUP(G166,'Kraken Trades'!$A$2:$A$28,'Kraken Trades'!$E$2:$E$28,"--",0)</f>
        <v>--</v>
      </c>
      <c r="U166" t="str">
        <f>_xlfn.XLOOKUP(G166,'Kraken Trades'!$A$2:$A$28,'Kraken Trades'!$F$2:$F$28,"--",0)</f>
        <v>--</v>
      </c>
      <c r="V166" t="str">
        <f>_xlfn.XLOOKUP(G166,'Kraken Trades'!$A$2:$A$28,'Kraken Trades'!$G$2:$G$28,"--",0)</f>
        <v>--</v>
      </c>
      <c r="W166" t="str">
        <f>_xlfn.XLOOKUP(G166,'Kraken Trades'!$A$2:$A$28,'Kraken Trades'!$H$2:$H$28,"--",0)</f>
        <v>--</v>
      </c>
      <c r="X166" t="str">
        <f>_xlfn.XLOOKUP(G166,'Kraken Trades'!$A$2:$A$28,'Kraken Trades'!$I$2:$I$28,"--",0)</f>
        <v>--</v>
      </c>
      <c r="Y166" t="str">
        <f>_xlfn.XLOOKUP(G166,'Kraken Trades'!$A$2:$A$28,'Kraken Trades'!$J$2:$J$28,"--",0)</f>
        <v>--</v>
      </c>
      <c r="Z166" t="str">
        <f>_xlfn.XLOOKUP(G166,'Kraken Trades'!$A$2:$A$28,'Kraken Trades'!$K$2:$K$28,"--",0)</f>
        <v>--</v>
      </c>
      <c r="AA166" t="str">
        <f>_xlfn.XLOOKUP(G166,'Kraken Trades'!$A$2:$A$28,'Kraken Trades'!$L$2:$L$28,"--",0)</f>
        <v>--</v>
      </c>
      <c r="AB166" t="str">
        <f>_xlfn.XLOOKUP(G166,'Kraken Trades'!$A$2:$A$28,'Kraken Trades'!$M$2:$M$28,"--",0)</f>
        <v>--</v>
      </c>
    </row>
    <row r="167" spans="1:28" x14ac:dyDescent="0.15">
      <c r="A167" s="78">
        <v>45104</v>
      </c>
      <c r="B167" t="s">
        <v>104</v>
      </c>
      <c r="E167" t="str">
        <f>_xlfn.XLOOKUP(D167,'DEST TAGs'!$A$2:$A$5,'DEST TAGs'!$B$2:$B$5,"--",0)</f>
        <v>--</v>
      </c>
      <c r="G167" t="s">
        <v>303</v>
      </c>
      <c r="H167" s="70">
        <v>44991.376388888886</v>
      </c>
      <c r="I167" t="s">
        <v>118</v>
      </c>
      <c r="K167" t="s">
        <v>107</v>
      </c>
      <c r="L167" t="s">
        <v>114</v>
      </c>
      <c r="M167">
        <v>-5860</v>
      </c>
      <c r="N167">
        <v>0.2</v>
      </c>
      <c r="P167" t="str">
        <f>_xlfn.XLOOKUP(G167,'Kraken Trades'!$A$2:$A$28,'Kraken Trades'!$A$2:$A$28,"--",0)</f>
        <v>--</v>
      </c>
      <c r="Q167" t="str">
        <f>_xlfn.XLOOKUP(G167,'Kraken Trades'!$A$2:$A$28,'Kraken Trades'!$B$2:$B$28,"--",0)</f>
        <v>--</v>
      </c>
      <c r="R167" t="str">
        <f>_xlfn.XLOOKUP(G167,'Kraken Trades'!$A$2:$A$28,'Kraken Trades'!$C$2:$C$28,"--",0)</f>
        <v>--</v>
      </c>
      <c r="S167" t="str">
        <f>_xlfn.XLOOKUP(G167,'Kraken Trades'!$A$2:$A$28,'Kraken Trades'!$D$2:$D$28,"--",0)</f>
        <v>--</v>
      </c>
      <c r="T167" t="str">
        <f>_xlfn.XLOOKUP(G167,'Kraken Trades'!$A$2:$A$28,'Kraken Trades'!$E$2:$E$28,"--",0)</f>
        <v>--</v>
      </c>
      <c r="U167" t="str">
        <f>_xlfn.XLOOKUP(G167,'Kraken Trades'!$A$2:$A$28,'Kraken Trades'!$F$2:$F$28,"--",0)</f>
        <v>--</v>
      </c>
      <c r="V167" t="str">
        <f>_xlfn.XLOOKUP(G167,'Kraken Trades'!$A$2:$A$28,'Kraken Trades'!$G$2:$G$28,"--",0)</f>
        <v>--</v>
      </c>
      <c r="W167" t="str">
        <f>_xlfn.XLOOKUP(G167,'Kraken Trades'!$A$2:$A$28,'Kraken Trades'!$H$2:$H$28,"--",0)</f>
        <v>--</v>
      </c>
      <c r="X167" t="str">
        <f>_xlfn.XLOOKUP(G167,'Kraken Trades'!$A$2:$A$28,'Kraken Trades'!$I$2:$I$28,"--",0)</f>
        <v>--</v>
      </c>
      <c r="Y167" t="str">
        <f>_xlfn.XLOOKUP(G167,'Kraken Trades'!$A$2:$A$28,'Kraken Trades'!$J$2:$J$28,"--",0)</f>
        <v>--</v>
      </c>
      <c r="Z167" t="str">
        <f>_xlfn.XLOOKUP(G167,'Kraken Trades'!$A$2:$A$28,'Kraken Trades'!$K$2:$K$28,"--",0)</f>
        <v>--</v>
      </c>
      <c r="AA167" t="str">
        <f>_xlfn.XLOOKUP(G167,'Kraken Trades'!$A$2:$A$28,'Kraken Trades'!$L$2:$L$28,"--",0)</f>
        <v>--</v>
      </c>
      <c r="AB167" t="str">
        <f>_xlfn.XLOOKUP(G167,'Kraken Trades'!$A$2:$A$28,'Kraken Trades'!$M$2:$M$28,"--",0)</f>
        <v>--</v>
      </c>
    </row>
    <row r="168" spans="1:28" x14ac:dyDescent="0.15">
      <c r="A168" s="78">
        <v>45104</v>
      </c>
      <c r="B168" t="s">
        <v>104</v>
      </c>
      <c r="C168" s="77" t="s">
        <v>74</v>
      </c>
      <c r="D168">
        <v>547786843</v>
      </c>
      <c r="E168" t="str">
        <f>_xlfn.XLOOKUP(D168,'DEST TAGs'!$A$2:$A$5,'DEST TAGs'!$B$2:$B$5,"--",0)</f>
        <v>Aleksey Trofimov</v>
      </c>
      <c r="F168" t="s">
        <v>304</v>
      </c>
      <c r="G168" t="s">
        <v>303</v>
      </c>
      <c r="H168" s="70">
        <v>44991.37777777778</v>
      </c>
      <c r="I168" t="s">
        <v>118</v>
      </c>
      <c r="K168" t="s">
        <v>107</v>
      </c>
      <c r="L168" t="s">
        <v>114</v>
      </c>
      <c r="M168">
        <v>-5860</v>
      </c>
      <c r="N168">
        <v>0.2</v>
      </c>
      <c r="O168">
        <v>0.24944334000000001</v>
      </c>
      <c r="P168" t="str">
        <f>_xlfn.XLOOKUP(G168,'Kraken Trades'!$A$2:$A$28,'Kraken Trades'!$A$2:$A$28,"--",0)</f>
        <v>--</v>
      </c>
      <c r="Q168" t="str">
        <f>_xlfn.XLOOKUP(G168,'Kraken Trades'!$A$2:$A$28,'Kraken Trades'!$B$2:$B$28,"--",0)</f>
        <v>--</v>
      </c>
      <c r="R168" t="str">
        <f>_xlfn.XLOOKUP(G168,'Kraken Trades'!$A$2:$A$28,'Kraken Trades'!$C$2:$C$28,"--",0)</f>
        <v>--</v>
      </c>
      <c r="S168" t="str">
        <f>_xlfn.XLOOKUP(G168,'Kraken Trades'!$A$2:$A$28,'Kraken Trades'!$D$2:$D$28,"--",0)</f>
        <v>--</v>
      </c>
      <c r="T168" t="str">
        <f>_xlfn.XLOOKUP(G168,'Kraken Trades'!$A$2:$A$28,'Kraken Trades'!$E$2:$E$28,"--",0)</f>
        <v>--</v>
      </c>
      <c r="U168" t="str">
        <f>_xlfn.XLOOKUP(G168,'Kraken Trades'!$A$2:$A$28,'Kraken Trades'!$F$2:$F$28,"--",0)</f>
        <v>--</v>
      </c>
      <c r="V168" t="str">
        <f>_xlfn.XLOOKUP(G168,'Kraken Trades'!$A$2:$A$28,'Kraken Trades'!$G$2:$G$28,"--",0)</f>
        <v>--</v>
      </c>
      <c r="W168" t="str">
        <f>_xlfn.XLOOKUP(G168,'Kraken Trades'!$A$2:$A$28,'Kraken Trades'!$H$2:$H$28,"--",0)</f>
        <v>--</v>
      </c>
      <c r="X168" t="str">
        <f>_xlfn.XLOOKUP(G168,'Kraken Trades'!$A$2:$A$28,'Kraken Trades'!$I$2:$I$28,"--",0)</f>
        <v>--</v>
      </c>
      <c r="Y168" t="str">
        <f>_xlfn.XLOOKUP(G168,'Kraken Trades'!$A$2:$A$28,'Kraken Trades'!$J$2:$J$28,"--",0)</f>
        <v>--</v>
      </c>
      <c r="Z168" t="str">
        <f>_xlfn.XLOOKUP(G168,'Kraken Trades'!$A$2:$A$28,'Kraken Trades'!$K$2:$K$28,"--",0)</f>
        <v>--</v>
      </c>
      <c r="AA168" t="str">
        <f>_xlfn.XLOOKUP(G168,'Kraken Trades'!$A$2:$A$28,'Kraken Trades'!$L$2:$L$28,"--",0)</f>
        <v>--</v>
      </c>
      <c r="AB168" t="str">
        <f>_xlfn.XLOOKUP(G168,'Kraken Trades'!$A$2:$A$28,'Kraken Trades'!$M$2:$M$28,"--",0)</f>
        <v>--</v>
      </c>
    </row>
    <row r="169" spans="1:28" x14ac:dyDescent="0.15">
      <c r="A169" s="78">
        <v>45104</v>
      </c>
      <c r="B169" t="s">
        <v>104</v>
      </c>
      <c r="E169" t="str">
        <f>_xlfn.XLOOKUP(D169,'DEST TAGs'!$A$2:$A$5,'DEST TAGs'!$B$2:$B$5,"--",0)</f>
        <v>--</v>
      </c>
      <c r="G169" t="s">
        <v>305</v>
      </c>
      <c r="H169" t="s">
        <v>306</v>
      </c>
      <c r="I169" t="s">
        <v>106</v>
      </c>
      <c r="K169" t="s">
        <v>107</v>
      </c>
      <c r="L169" t="s">
        <v>108</v>
      </c>
      <c r="M169">
        <v>1500</v>
      </c>
      <c r="N169">
        <v>0</v>
      </c>
      <c r="P169" t="str">
        <f>_xlfn.XLOOKUP(G169,'Kraken Trades'!$A$2:$A$28,'Kraken Trades'!$A$2:$A$28,"--",0)</f>
        <v>--</v>
      </c>
      <c r="Q169" t="str">
        <f>_xlfn.XLOOKUP(G169,'Kraken Trades'!$A$2:$A$28,'Kraken Trades'!$B$2:$B$28,"--",0)</f>
        <v>--</v>
      </c>
      <c r="R169" t="str">
        <f>_xlfn.XLOOKUP(G169,'Kraken Trades'!$A$2:$A$28,'Kraken Trades'!$C$2:$C$28,"--",0)</f>
        <v>--</v>
      </c>
      <c r="S169" t="str">
        <f>_xlfn.XLOOKUP(G169,'Kraken Trades'!$A$2:$A$28,'Kraken Trades'!$D$2:$D$28,"--",0)</f>
        <v>--</v>
      </c>
      <c r="T169" t="str">
        <f>_xlfn.XLOOKUP(G169,'Kraken Trades'!$A$2:$A$28,'Kraken Trades'!$E$2:$E$28,"--",0)</f>
        <v>--</v>
      </c>
      <c r="U169" t="str">
        <f>_xlfn.XLOOKUP(G169,'Kraken Trades'!$A$2:$A$28,'Kraken Trades'!$F$2:$F$28,"--",0)</f>
        <v>--</v>
      </c>
      <c r="V169" t="str">
        <f>_xlfn.XLOOKUP(G169,'Kraken Trades'!$A$2:$A$28,'Kraken Trades'!$G$2:$G$28,"--",0)</f>
        <v>--</v>
      </c>
      <c r="W169" t="str">
        <f>_xlfn.XLOOKUP(G169,'Kraken Trades'!$A$2:$A$28,'Kraken Trades'!$H$2:$H$28,"--",0)</f>
        <v>--</v>
      </c>
      <c r="X169" t="str">
        <f>_xlfn.XLOOKUP(G169,'Kraken Trades'!$A$2:$A$28,'Kraken Trades'!$I$2:$I$28,"--",0)</f>
        <v>--</v>
      </c>
      <c r="Y169" t="str">
        <f>_xlfn.XLOOKUP(G169,'Kraken Trades'!$A$2:$A$28,'Kraken Trades'!$J$2:$J$28,"--",0)</f>
        <v>--</v>
      </c>
      <c r="Z169" t="str">
        <f>_xlfn.XLOOKUP(G169,'Kraken Trades'!$A$2:$A$28,'Kraken Trades'!$K$2:$K$28,"--",0)</f>
        <v>--</v>
      </c>
      <c r="AA169" t="str">
        <f>_xlfn.XLOOKUP(G169,'Kraken Trades'!$A$2:$A$28,'Kraken Trades'!$L$2:$L$28,"--",0)</f>
        <v>--</v>
      </c>
      <c r="AB169" t="str">
        <f>_xlfn.XLOOKUP(G169,'Kraken Trades'!$A$2:$A$28,'Kraken Trades'!$M$2:$M$28,"--",0)</f>
        <v>--</v>
      </c>
    </row>
    <row r="170" spans="1:28" x14ac:dyDescent="0.15">
      <c r="A170" s="78">
        <v>45104</v>
      </c>
      <c r="B170" t="s">
        <v>104</v>
      </c>
      <c r="E170" t="str">
        <f>_xlfn.XLOOKUP(D170,'DEST TAGs'!$A$2:$A$5,'DEST TAGs'!$B$2:$B$5,"--",0)</f>
        <v>--</v>
      </c>
      <c r="F170" t="s">
        <v>307</v>
      </c>
      <c r="G170" t="s">
        <v>305</v>
      </c>
      <c r="H170" t="s">
        <v>308</v>
      </c>
      <c r="I170" t="s">
        <v>106</v>
      </c>
      <c r="K170" t="s">
        <v>107</v>
      </c>
      <c r="L170" t="s">
        <v>108</v>
      </c>
      <c r="M170">
        <v>1500</v>
      </c>
      <c r="N170">
        <v>0</v>
      </c>
      <c r="O170">
        <v>1558.9636</v>
      </c>
      <c r="P170" t="str">
        <f>_xlfn.XLOOKUP(G170,'Kraken Trades'!$A$2:$A$28,'Kraken Trades'!$A$2:$A$28,"--",0)</f>
        <v>--</v>
      </c>
      <c r="Q170" t="str">
        <f>_xlfn.XLOOKUP(G170,'Kraken Trades'!$A$2:$A$28,'Kraken Trades'!$B$2:$B$28,"--",0)</f>
        <v>--</v>
      </c>
      <c r="R170" t="str">
        <f>_xlfn.XLOOKUP(G170,'Kraken Trades'!$A$2:$A$28,'Kraken Trades'!$C$2:$C$28,"--",0)</f>
        <v>--</v>
      </c>
      <c r="S170" t="str">
        <f>_xlfn.XLOOKUP(G170,'Kraken Trades'!$A$2:$A$28,'Kraken Trades'!$D$2:$D$28,"--",0)</f>
        <v>--</v>
      </c>
      <c r="T170" t="str">
        <f>_xlfn.XLOOKUP(G170,'Kraken Trades'!$A$2:$A$28,'Kraken Trades'!$E$2:$E$28,"--",0)</f>
        <v>--</v>
      </c>
      <c r="U170" t="str">
        <f>_xlfn.XLOOKUP(G170,'Kraken Trades'!$A$2:$A$28,'Kraken Trades'!$F$2:$F$28,"--",0)</f>
        <v>--</v>
      </c>
      <c r="V170" t="str">
        <f>_xlfn.XLOOKUP(G170,'Kraken Trades'!$A$2:$A$28,'Kraken Trades'!$G$2:$G$28,"--",0)</f>
        <v>--</v>
      </c>
      <c r="W170" t="str">
        <f>_xlfn.XLOOKUP(G170,'Kraken Trades'!$A$2:$A$28,'Kraken Trades'!$H$2:$H$28,"--",0)</f>
        <v>--</v>
      </c>
      <c r="X170" t="str">
        <f>_xlfn.XLOOKUP(G170,'Kraken Trades'!$A$2:$A$28,'Kraken Trades'!$I$2:$I$28,"--",0)</f>
        <v>--</v>
      </c>
      <c r="Y170" t="str">
        <f>_xlfn.XLOOKUP(G170,'Kraken Trades'!$A$2:$A$28,'Kraken Trades'!$J$2:$J$28,"--",0)</f>
        <v>--</v>
      </c>
      <c r="Z170" t="str">
        <f>_xlfn.XLOOKUP(G170,'Kraken Trades'!$A$2:$A$28,'Kraken Trades'!$K$2:$K$28,"--",0)</f>
        <v>--</v>
      </c>
      <c r="AA170" t="str">
        <f>_xlfn.XLOOKUP(G170,'Kraken Trades'!$A$2:$A$28,'Kraken Trades'!$L$2:$L$28,"--",0)</f>
        <v>--</v>
      </c>
      <c r="AB170" t="str">
        <f>_xlfn.XLOOKUP(G170,'Kraken Trades'!$A$2:$A$28,'Kraken Trades'!$M$2:$M$28,"--",0)</f>
        <v>--</v>
      </c>
    </row>
    <row r="171" spans="1:28" x14ac:dyDescent="0.15">
      <c r="A171" s="78">
        <v>45104</v>
      </c>
      <c r="B171" t="s">
        <v>104</v>
      </c>
      <c r="E171" t="str">
        <f>_xlfn.XLOOKUP(D171,'DEST TAGs'!$A$2:$A$5,'DEST TAGs'!$B$2:$B$5,"--",0)</f>
        <v>--</v>
      </c>
      <c r="F171" t="s">
        <v>309</v>
      </c>
      <c r="G171" t="s">
        <v>310</v>
      </c>
      <c r="H171" t="s">
        <v>311</v>
      </c>
      <c r="I171" t="s">
        <v>112</v>
      </c>
      <c r="K171" t="s">
        <v>107</v>
      </c>
      <c r="L171" t="s">
        <v>108</v>
      </c>
      <c r="M171">
        <v>-1501.1151</v>
      </c>
      <c r="N171">
        <v>0</v>
      </c>
      <c r="O171">
        <v>57.848500000000001</v>
      </c>
      <c r="P171" t="str">
        <f>_xlfn.XLOOKUP(G171,'Kraken Trades'!$A$2:$A$28,'Kraken Trades'!$A$2:$A$28,"--",0)</f>
        <v>T7NWFA-M4VMT-77KQIS</v>
      </c>
      <c r="Q171" t="str">
        <f>_xlfn.XLOOKUP(G171,'Kraken Trades'!$A$2:$A$28,'Kraken Trades'!$B$2:$B$28,"--",0)</f>
        <v>OQJMYU-UVY2N-R6Q7A4</v>
      </c>
      <c r="R171" t="str">
        <f>_xlfn.XLOOKUP(G171,'Kraken Trades'!$A$2:$A$28,'Kraken Trades'!$C$2:$C$28,"--",0)</f>
        <v>XRPGBP</v>
      </c>
      <c r="S171">
        <f>_xlfn.XLOOKUP(G171,'Kraken Trades'!$A$2:$A$28,'Kraken Trades'!$D$2:$D$28,"--",0)</f>
        <v>3.5214120370370368E-2</v>
      </c>
      <c r="T171" t="str">
        <f>_xlfn.XLOOKUP(G171,'Kraken Trades'!$A$2:$A$28,'Kraken Trades'!$E$2:$E$28,"--",0)</f>
        <v>buy</v>
      </c>
      <c r="U171" t="str">
        <f>_xlfn.XLOOKUP(G171,'Kraken Trades'!$A$2:$A$28,'Kraken Trades'!$F$2:$F$28,"--",0)</f>
        <v>market</v>
      </c>
      <c r="V171">
        <f>_xlfn.XLOOKUP(G171,'Kraken Trades'!$A$2:$A$28,'Kraken Trades'!$G$2:$G$28,"--",0)</f>
        <v>0.39764637000000003</v>
      </c>
      <c r="W171">
        <f>_xlfn.XLOOKUP(G171,'Kraken Trades'!$A$2:$A$28,'Kraken Trades'!$H$2:$H$28,"--",0)</f>
        <v>1501.1150339999999</v>
      </c>
      <c r="X171">
        <f>_xlfn.XLOOKUP(G171,'Kraken Trades'!$A$2:$A$28,'Kraken Trades'!$I$2:$I$28,"--",0)</f>
        <v>3.90289909</v>
      </c>
      <c r="Y171">
        <f>_xlfn.XLOOKUP(G171,'Kraken Trades'!$A$2:$A$28,'Kraken Trades'!$J$2:$J$28,"--",0)</f>
        <v>3775</v>
      </c>
      <c r="Z171">
        <f>_xlfn.XLOOKUP(G171,'Kraken Trades'!$A$2:$A$28,'Kraken Trades'!$K$2:$K$28,"--",0)</f>
        <v>0</v>
      </c>
      <c r="AA171" t="str">
        <f>_xlfn.XLOOKUP(G171,'Kraken Trades'!$A$2:$A$28,'Kraken Trades'!$L$2:$L$28,"--",0)</f>
        <v>initiated</v>
      </c>
      <c r="AB171" t="str">
        <f>_xlfn.XLOOKUP(G171,'Kraken Trades'!$A$2:$A$28,'Kraken Trades'!$M$2:$M$28,"--",0)</f>
        <v>LPH4H4-HMTLA-FD22R2,L5G4RH-GZ6GJ-YCPOHN,LSWL2G-VITTT-FGX3GF</v>
      </c>
    </row>
    <row r="172" spans="1:28" x14ac:dyDescent="0.15">
      <c r="A172" s="78">
        <v>45104</v>
      </c>
      <c r="B172" t="s">
        <v>104</v>
      </c>
      <c r="E172" t="str">
        <f>_xlfn.XLOOKUP(D172,'DEST TAGs'!$A$2:$A$5,'DEST TAGs'!$B$2:$B$5,"--",0)</f>
        <v>--</v>
      </c>
      <c r="F172" t="s">
        <v>312</v>
      </c>
      <c r="G172" t="s">
        <v>310</v>
      </c>
      <c r="H172" t="s">
        <v>311</v>
      </c>
      <c r="I172" t="s">
        <v>112</v>
      </c>
      <c r="K172" t="s">
        <v>107</v>
      </c>
      <c r="L172" t="s">
        <v>114</v>
      </c>
      <c r="M172">
        <v>3775</v>
      </c>
      <c r="N172">
        <v>0</v>
      </c>
      <c r="O172">
        <v>3775.2494430000002</v>
      </c>
      <c r="P172" t="str">
        <f>_xlfn.XLOOKUP(G172,'Kraken Trades'!$A$2:$A$28,'Kraken Trades'!$A$2:$A$28,"--",0)</f>
        <v>T7NWFA-M4VMT-77KQIS</v>
      </c>
      <c r="Q172" t="str">
        <f>_xlfn.XLOOKUP(G172,'Kraken Trades'!$A$2:$A$28,'Kraken Trades'!$B$2:$B$28,"--",0)</f>
        <v>OQJMYU-UVY2N-R6Q7A4</v>
      </c>
      <c r="R172" t="str">
        <f>_xlfn.XLOOKUP(G172,'Kraken Trades'!$A$2:$A$28,'Kraken Trades'!$C$2:$C$28,"--",0)</f>
        <v>XRPGBP</v>
      </c>
      <c r="S172">
        <f>_xlfn.XLOOKUP(G172,'Kraken Trades'!$A$2:$A$28,'Kraken Trades'!$D$2:$D$28,"--",0)</f>
        <v>3.5214120370370368E-2</v>
      </c>
      <c r="T172" t="str">
        <f>_xlfn.XLOOKUP(G172,'Kraken Trades'!$A$2:$A$28,'Kraken Trades'!$E$2:$E$28,"--",0)</f>
        <v>buy</v>
      </c>
      <c r="U172" t="str">
        <f>_xlfn.XLOOKUP(G172,'Kraken Trades'!$A$2:$A$28,'Kraken Trades'!$F$2:$F$28,"--",0)</f>
        <v>market</v>
      </c>
      <c r="V172">
        <f>_xlfn.XLOOKUP(G172,'Kraken Trades'!$A$2:$A$28,'Kraken Trades'!$G$2:$G$28,"--",0)</f>
        <v>0.39764637000000003</v>
      </c>
      <c r="W172">
        <f>_xlfn.XLOOKUP(G172,'Kraken Trades'!$A$2:$A$28,'Kraken Trades'!$H$2:$H$28,"--",0)</f>
        <v>1501.1150339999999</v>
      </c>
      <c r="X172">
        <f>_xlfn.XLOOKUP(G172,'Kraken Trades'!$A$2:$A$28,'Kraken Trades'!$I$2:$I$28,"--",0)</f>
        <v>3.90289909</v>
      </c>
      <c r="Y172">
        <f>_xlfn.XLOOKUP(G172,'Kraken Trades'!$A$2:$A$28,'Kraken Trades'!$J$2:$J$28,"--",0)</f>
        <v>3775</v>
      </c>
      <c r="Z172">
        <f>_xlfn.XLOOKUP(G172,'Kraken Trades'!$A$2:$A$28,'Kraken Trades'!$K$2:$K$28,"--",0)</f>
        <v>0</v>
      </c>
      <c r="AA172" t="str">
        <f>_xlfn.XLOOKUP(G172,'Kraken Trades'!$A$2:$A$28,'Kraken Trades'!$L$2:$L$28,"--",0)</f>
        <v>initiated</v>
      </c>
      <c r="AB172" t="str">
        <f>_xlfn.XLOOKUP(G172,'Kraken Trades'!$A$2:$A$28,'Kraken Trades'!$M$2:$M$28,"--",0)</f>
        <v>LPH4H4-HMTLA-FD22R2,L5G4RH-GZ6GJ-YCPOHN,LSWL2G-VITTT-FGX3GF</v>
      </c>
    </row>
    <row r="173" spans="1:28" x14ac:dyDescent="0.15">
      <c r="A173" s="78">
        <v>45104</v>
      </c>
      <c r="B173" t="s">
        <v>104</v>
      </c>
      <c r="E173" t="str">
        <f>_xlfn.XLOOKUP(D173,'DEST TAGs'!$A$2:$A$5,'DEST TAGs'!$B$2:$B$5,"--",0)</f>
        <v>--</v>
      </c>
      <c r="F173" t="s">
        <v>313</v>
      </c>
      <c r="G173" t="s">
        <v>310</v>
      </c>
      <c r="H173" t="s">
        <v>311</v>
      </c>
      <c r="I173" t="s">
        <v>112</v>
      </c>
      <c r="K173" t="s">
        <v>107</v>
      </c>
      <c r="L173" t="s">
        <v>116</v>
      </c>
      <c r="M173">
        <v>0</v>
      </c>
      <c r="N173">
        <v>495.48</v>
      </c>
      <c r="O173">
        <v>1454.34</v>
      </c>
      <c r="P173" t="str">
        <f>_xlfn.XLOOKUP(G173,'Kraken Trades'!$A$2:$A$28,'Kraken Trades'!$A$2:$A$28,"--",0)</f>
        <v>T7NWFA-M4VMT-77KQIS</v>
      </c>
      <c r="Q173" t="str">
        <f>_xlfn.XLOOKUP(G173,'Kraken Trades'!$A$2:$A$28,'Kraken Trades'!$B$2:$B$28,"--",0)</f>
        <v>OQJMYU-UVY2N-R6Q7A4</v>
      </c>
      <c r="R173" t="str">
        <f>_xlfn.XLOOKUP(G173,'Kraken Trades'!$A$2:$A$28,'Kraken Trades'!$C$2:$C$28,"--",0)</f>
        <v>XRPGBP</v>
      </c>
      <c r="S173">
        <f>_xlfn.XLOOKUP(G173,'Kraken Trades'!$A$2:$A$28,'Kraken Trades'!$D$2:$D$28,"--",0)</f>
        <v>3.5214120370370368E-2</v>
      </c>
      <c r="T173" t="str">
        <f>_xlfn.XLOOKUP(G173,'Kraken Trades'!$A$2:$A$28,'Kraken Trades'!$E$2:$E$28,"--",0)</f>
        <v>buy</v>
      </c>
      <c r="U173" t="str">
        <f>_xlfn.XLOOKUP(G173,'Kraken Trades'!$A$2:$A$28,'Kraken Trades'!$F$2:$F$28,"--",0)</f>
        <v>market</v>
      </c>
      <c r="V173">
        <f>_xlfn.XLOOKUP(G173,'Kraken Trades'!$A$2:$A$28,'Kraken Trades'!$G$2:$G$28,"--",0)</f>
        <v>0.39764637000000003</v>
      </c>
      <c r="W173">
        <f>_xlfn.XLOOKUP(G173,'Kraken Trades'!$A$2:$A$28,'Kraken Trades'!$H$2:$H$28,"--",0)</f>
        <v>1501.1150339999999</v>
      </c>
      <c r="X173">
        <f>_xlfn.XLOOKUP(G173,'Kraken Trades'!$A$2:$A$28,'Kraken Trades'!$I$2:$I$28,"--",0)</f>
        <v>3.90289909</v>
      </c>
      <c r="Y173">
        <f>_xlfn.XLOOKUP(G173,'Kraken Trades'!$A$2:$A$28,'Kraken Trades'!$J$2:$J$28,"--",0)</f>
        <v>3775</v>
      </c>
      <c r="Z173">
        <f>_xlfn.XLOOKUP(G173,'Kraken Trades'!$A$2:$A$28,'Kraken Trades'!$K$2:$K$28,"--",0)</f>
        <v>0</v>
      </c>
      <c r="AA173" t="str">
        <f>_xlfn.XLOOKUP(G173,'Kraken Trades'!$A$2:$A$28,'Kraken Trades'!$L$2:$L$28,"--",0)</f>
        <v>initiated</v>
      </c>
      <c r="AB173" t="str">
        <f>_xlfn.XLOOKUP(G173,'Kraken Trades'!$A$2:$A$28,'Kraken Trades'!$M$2:$M$28,"--",0)</f>
        <v>LPH4H4-HMTLA-FD22R2,L5G4RH-GZ6GJ-YCPOHN,LSWL2G-VITTT-FGX3GF</v>
      </c>
    </row>
    <row r="174" spans="1:28" x14ac:dyDescent="0.15">
      <c r="A174" s="78">
        <v>45104</v>
      </c>
      <c r="B174" t="s">
        <v>104</v>
      </c>
      <c r="E174" t="str">
        <f>_xlfn.XLOOKUP(D174,'DEST TAGs'!$A$2:$A$5,'DEST TAGs'!$B$2:$B$5,"--",0)</f>
        <v>--</v>
      </c>
      <c r="G174" t="s">
        <v>314</v>
      </c>
      <c r="H174" t="s">
        <v>315</v>
      </c>
      <c r="I174" t="s">
        <v>118</v>
      </c>
      <c r="K174" t="s">
        <v>107</v>
      </c>
      <c r="L174" t="s">
        <v>114</v>
      </c>
      <c r="M174">
        <v>-3775</v>
      </c>
      <c r="N174">
        <v>0.2</v>
      </c>
      <c r="P174" t="str">
        <f>_xlfn.XLOOKUP(G174,'Kraken Trades'!$A$2:$A$28,'Kraken Trades'!$A$2:$A$28,"--",0)</f>
        <v>--</v>
      </c>
      <c r="Q174" t="str">
        <f>_xlfn.XLOOKUP(G174,'Kraken Trades'!$A$2:$A$28,'Kraken Trades'!$B$2:$B$28,"--",0)</f>
        <v>--</v>
      </c>
      <c r="R174" t="str">
        <f>_xlfn.XLOOKUP(G174,'Kraken Trades'!$A$2:$A$28,'Kraken Trades'!$C$2:$C$28,"--",0)</f>
        <v>--</v>
      </c>
      <c r="S174" t="str">
        <f>_xlfn.XLOOKUP(G174,'Kraken Trades'!$A$2:$A$28,'Kraken Trades'!$D$2:$D$28,"--",0)</f>
        <v>--</v>
      </c>
      <c r="T174" t="str">
        <f>_xlfn.XLOOKUP(G174,'Kraken Trades'!$A$2:$A$28,'Kraken Trades'!$E$2:$E$28,"--",0)</f>
        <v>--</v>
      </c>
      <c r="U174" t="str">
        <f>_xlfn.XLOOKUP(G174,'Kraken Trades'!$A$2:$A$28,'Kraken Trades'!$F$2:$F$28,"--",0)</f>
        <v>--</v>
      </c>
      <c r="V174" t="str">
        <f>_xlfn.XLOOKUP(G174,'Kraken Trades'!$A$2:$A$28,'Kraken Trades'!$G$2:$G$28,"--",0)</f>
        <v>--</v>
      </c>
      <c r="W174" t="str">
        <f>_xlfn.XLOOKUP(G174,'Kraken Trades'!$A$2:$A$28,'Kraken Trades'!$H$2:$H$28,"--",0)</f>
        <v>--</v>
      </c>
      <c r="X174" t="str">
        <f>_xlfn.XLOOKUP(G174,'Kraken Trades'!$A$2:$A$28,'Kraken Trades'!$I$2:$I$28,"--",0)</f>
        <v>--</v>
      </c>
      <c r="Y174" t="str">
        <f>_xlfn.XLOOKUP(G174,'Kraken Trades'!$A$2:$A$28,'Kraken Trades'!$J$2:$J$28,"--",0)</f>
        <v>--</v>
      </c>
      <c r="Z174" t="str">
        <f>_xlfn.XLOOKUP(G174,'Kraken Trades'!$A$2:$A$28,'Kraken Trades'!$K$2:$K$28,"--",0)</f>
        <v>--</v>
      </c>
      <c r="AA174" t="str">
        <f>_xlfn.XLOOKUP(G174,'Kraken Trades'!$A$2:$A$28,'Kraken Trades'!$L$2:$L$28,"--",0)</f>
        <v>--</v>
      </c>
      <c r="AB174" t="str">
        <f>_xlfn.XLOOKUP(G174,'Kraken Trades'!$A$2:$A$28,'Kraken Trades'!$M$2:$M$28,"--",0)</f>
        <v>--</v>
      </c>
    </row>
    <row r="175" spans="1:28" x14ac:dyDescent="0.15">
      <c r="A175" s="78">
        <v>45104</v>
      </c>
      <c r="B175" t="s">
        <v>104</v>
      </c>
      <c r="C175" s="77" t="s">
        <v>75</v>
      </c>
      <c r="D175">
        <v>547786843</v>
      </c>
      <c r="E175" t="str">
        <f>_xlfn.XLOOKUP(D175,'DEST TAGs'!$A$2:$A$5,'DEST TAGs'!$B$2:$B$5,"--",0)</f>
        <v>Aleksey Trofimov</v>
      </c>
      <c r="F175" t="s">
        <v>316</v>
      </c>
      <c r="G175" t="s">
        <v>314</v>
      </c>
      <c r="H175" t="s">
        <v>317</v>
      </c>
      <c r="I175" t="s">
        <v>118</v>
      </c>
      <c r="K175" t="s">
        <v>107</v>
      </c>
      <c r="L175" t="s">
        <v>114</v>
      </c>
      <c r="M175">
        <v>-3775</v>
      </c>
      <c r="N175">
        <v>0.2</v>
      </c>
      <c r="O175">
        <v>4.9443340000000002E-2</v>
      </c>
      <c r="P175" t="str">
        <f>_xlfn.XLOOKUP(G175,'Kraken Trades'!$A$2:$A$28,'Kraken Trades'!$A$2:$A$28,"--",0)</f>
        <v>--</v>
      </c>
      <c r="Q175" t="str">
        <f>_xlfn.XLOOKUP(G175,'Kraken Trades'!$A$2:$A$28,'Kraken Trades'!$B$2:$B$28,"--",0)</f>
        <v>--</v>
      </c>
      <c r="R175" t="str">
        <f>_xlfn.XLOOKUP(G175,'Kraken Trades'!$A$2:$A$28,'Kraken Trades'!$C$2:$C$28,"--",0)</f>
        <v>--</v>
      </c>
      <c r="S175" t="str">
        <f>_xlfn.XLOOKUP(G175,'Kraken Trades'!$A$2:$A$28,'Kraken Trades'!$D$2:$D$28,"--",0)</f>
        <v>--</v>
      </c>
      <c r="T175" t="str">
        <f>_xlfn.XLOOKUP(G175,'Kraken Trades'!$A$2:$A$28,'Kraken Trades'!$E$2:$E$28,"--",0)</f>
        <v>--</v>
      </c>
      <c r="U175" t="str">
        <f>_xlfn.XLOOKUP(G175,'Kraken Trades'!$A$2:$A$28,'Kraken Trades'!$F$2:$F$28,"--",0)</f>
        <v>--</v>
      </c>
      <c r="V175" t="str">
        <f>_xlfn.XLOOKUP(G175,'Kraken Trades'!$A$2:$A$28,'Kraken Trades'!$G$2:$G$28,"--",0)</f>
        <v>--</v>
      </c>
      <c r="W175" t="str">
        <f>_xlfn.XLOOKUP(G175,'Kraken Trades'!$A$2:$A$28,'Kraken Trades'!$H$2:$H$28,"--",0)</f>
        <v>--</v>
      </c>
      <c r="X175" t="str">
        <f>_xlfn.XLOOKUP(G175,'Kraken Trades'!$A$2:$A$28,'Kraken Trades'!$I$2:$I$28,"--",0)</f>
        <v>--</v>
      </c>
      <c r="Y175" t="str">
        <f>_xlfn.XLOOKUP(G175,'Kraken Trades'!$A$2:$A$28,'Kraken Trades'!$J$2:$J$28,"--",0)</f>
        <v>--</v>
      </c>
      <c r="Z175" t="str">
        <f>_xlfn.XLOOKUP(G175,'Kraken Trades'!$A$2:$A$28,'Kraken Trades'!$K$2:$K$28,"--",0)</f>
        <v>--</v>
      </c>
      <c r="AA175" t="str">
        <f>_xlfn.XLOOKUP(G175,'Kraken Trades'!$A$2:$A$28,'Kraken Trades'!$L$2:$L$28,"--",0)</f>
        <v>--</v>
      </c>
      <c r="AB175" t="str">
        <f>_xlfn.XLOOKUP(G175,'Kraken Trades'!$A$2:$A$28,'Kraken Trades'!$M$2:$M$28,"--",0)</f>
        <v>--</v>
      </c>
    </row>
    <row r="176" spans="1:28" x14ac:dyDescent="0.15">
      <c r="A176" s="78">
        <v>45104</v>
      </c>
      <c r="B176" t="s">
        <v>104</v>
      </c>
      <c r="E176" t="str">
        <f>_xlfn.XLOOKUP(D176,'DEST TAGs'!$A$2:$A$5,'DEST TAGs'!$B$2:$B$5,"--",0)</f>
        <v>--</v>
      </c>
      <c r="G176" t="s">
        <v>318</v>
      </c>
      <c r="H176" t="s">
        <v>319</v>
      </c>
      <c r="I176" t="s">
        <v>106</v>
      </c>
      <c r="K176" t="s">
        <v>107</v>
      </c>
      <c r="L176" t="s">
        <v>108</v>
      </c>
      <c r="M176">
        <v>2800</v>
      </c>
      <c r="N176">
        <v>0</v>
      </c>
      <c r="P176" t="str">
        <f>_xlfn.XLOOKUP(G176,'Kraken Trades'!$A$2:$A$28,'Kraken Trades'!$A$2:$A$28,"--",0)</f>
        <v>--</v>
      </c>
      <c r="Q176" t="str">
        <f>_xlfn.XLOOKUP(G176,'Kraken Trades'!$A$2:$A$28,'Kraken Trades'!$B$2:$B$28,"--",0)</f>
        <v>--</v>
      </c>
      <c r="R176" t="str">
        <f>_xlfn.XLOOKUP(G176,'Kraken Trades'!$A$2:$A$28,'Kraken Trades'!$C$2:$C$28,"--",0)</f>
        <v>--</v>
      </c>
      <c r="S176" t="str">
        <f>_xlfn.XLOOKUP(G176,'Kraken Trades'!$A$2:$A$28,'Kraken Trades'!$D$2:$D$28,"--",0)</f>
        <v>--</v>
      </c>
      <c r="T176" t="str">
        <f>_xlfn.XLOOKUP(G176,'Kraken Trades'!$A$2:$A$28,'Kraken Trades'!$E$2:$E$28,"--",0)</f>
        <v>--</v>
      </c>
      <c r="U176" t="str">
        <f>_xlfn.XLOOKUP(G176,'Kraken Trades'!$A$2:$A$28,'Kraken Trades'!$F$2:$F$28,"--",0)</f>
        <v>--</v>
      </c>
      <c r="V176" t="str">
        <f>_xlfn.XLOOKUP(G176,'Kraken Trades'!$A$2:$A$28,'Kraken Trades'!$G$2:$G$28,"--",0)</f>
        <v>--</v>
      </c>
      <c r="W176" t="str">
        <f>_xlfn.XLOOKUP(G176,'Kraken Trades'!$A$2:$A$28,'Kraken Trades'!$H$2:$H$28,"--",0)</f>
        <v>--</v>
      </c>
      <c r="X176" t="str">
        <f>_xlfn.XLOOKUP(G176,'Kraken Trades'!$A$2:$A$28,'Kraken Trades'!$I$2:$I$28,"--",0)</f>
        <v>--</v>
      </c>
      <c r="Y176" t="str">
        <f>_xlfn.XLOOKUP(G176,'Kraken Trades'!$A$2:$A$28,'Kraken Trades'!$J$2:$J$28,"--",0)</f>
        <v>--</v>
      </c>
      <c r="Z176" t="str">
        <f>_xlfn.XLOOKUP(G176,'Kraken Trades'!$A$2:$A$28,'Kraken Trades'!$K$2:$K$28,"--",0)</f>
        <v>--</v>
      </c>
      <c r="AA176" t="str">
        <f>_xlfn.XLOOKUP(G176,'Kraken Trades'!$A$2:$A$28,'Kraken Trades'!$L$2:$L$28,"--",0)</f>
        <v>--</v>
      </c>
      <c r="AB176" t="str">
        <f>_xlfn.XLOOKUP(G176,'Kraken Trades'!$A$2:$A$28,'Kraken Trades'!$M$2:$M$28,"--",0)</f>
        <v>--</v>
      </c>
    </row>
    <row r="177" spans="1:28" x14ac:dyDescent="0.15">
      <c r="A177" s="78">
        <v>45104</v>
      </c>
      <c r="B177" t="s">
        <v>104</v>
      </c>
      <c r="E177" t="str">
        <f>_xlfn.XLOOKUP(D177,'DEST TAGs'!$A$2:$A$5,'DEST TAGs'!$B$2:$B$5,"--",0)</f>
        <v>--</v>
      </c>
      <c r="F177" t="s">
        <v>320</v>
      </c>
      <c r="G177" t="s">
        <v>318</v>
      </c>
      <c r="H177" t="s">
        <v>321</v>
      </c>
      <c r="I177" t="s">
        <v>106</v>
      </c>
      <c r="K177" t="s">
        <v>107</v>
      </c>
      <c r="L177" t="s">
        <v>108</v>
      </c>
      <c r="M177">
        <v>2800</v>
      </c>
      <c r="N177">
        <v>0</v>
      </c>
      <c r="O177">
        <v>2857.8485000000001</v>
      </c>
      <c r="P177" t="str">
        <f>_xlfn.XLOOKUP(G177,'Kraken Trades'!$A$2:$A$28,'Kraken Trades'!$A$2:$A$28,"--",0)</f>
        <v>--</v>
      </c>
      <c r="Q177" t="str">
        <f>_xlfn.XLOOKUP(G177,'Kraken Trades'!$A$2:$A$28,'Kraken Trades'!$B$2:$B$28,"--",0)</f>
        <v>--</v>
      </c>
      <c r="R177" t="str">
        <f>_xlfn.XLOOKUP(G177,'Kraken Trades'!$A$2:$A$28,'Kraken Trades'!$C$2:$C$28,"--",0)</f>
        <v>--</v>
      </c>
      <c r="S177" t="str">
        <f>_xlfn.XLOOKUP(G177,'Kraken Trades'!$A$2:$A$28,'Kraken Trades'!$D$2:$D$28,"--",0)</f>
        <v>--</v>
      </c>
      <c r="T177" t="str">
        <f>_xlfn.XLOOKUP(G177,'Kraken Trades'!$A$2:$A$28,'Kraken Trades'!$E$2:$E$28,"--",0)</f>
        <v>--</v>
      </c>
      <c r="U177" t="str">
        <f>_xlfn.XLOOKUP(G177,'Kraken Trades'!$A$2:$A$28,'Kraken Trades'!$F$2:$F$28,"--",0)</f>
        <v>--</v>
      </c>
      <c r="V177" t="str">
        <f>_xlfn.XLOOKUP(G177,'Kraken Trades'!$A$2:$A$28,'Kraken Trades'!$G$2:$G$28,"--",0)</f>
        <v>--</v>
      </c>
      <c r="W177" t="str">
        <f>_xlfn.XLOOKUP(G177,'Kraken Trades'!$A$2:$A$28,'Kraken Trades'!$H$2:$H$28,"--",0)</f>
        <v>--</v>
      </c>
      <c r="X177" t="str">
        <f>_xlfn.XLOOKUP(G177,'Kraken Trades'!$A$2:$A$28,'Kraken Trades'!$I$2:$I$28,"--",0)</f>
        <v>--</v>
      </c>
      <c r="Y177" t="str">
        <f>_xlfn.XLOOKUP(G177,'Kraken Trades'!$A$2:$A$28,'Kraken Trades'!$J$2:$J$28,"--",0)</f>
        <v>--</v>
      </c>
      <c r="Z177" t="str">
        <f>_xlfn.XLOOKUP(G177,'Kraken Trades'!$A$2:$A$28,'Kraken Trades'!$K$2:$K$28,"--",0)</f>
        <v>--</v>
      </c>
      <c r="AA177" t="str">
        <f>_xlfn.XLOOKUP(G177,'Kraken Trades'!$A$2:$A$28,'Kraken Trades'!$L$2:$L$28,"--",0)</f>
        <v>--</v>
      </c>
      <c r="AB177" t="str">
        <f>_xlfn.XLOOKUP(G177,'Kraken Trades'!$A$2:$A$28,'Kraken Trades'!$M$2:$M$28,"--",0)</f>
        <v>--</v>
      </c>
    </row>
    <row r="178" spans="1:28" x14ac:dyDescent="0.15">
      <c r="A178" s="78">
        <v>45104</v>
      </c>
      <c r="B178" t="s">
        <v>104</v>
      </c>
      <c r="E178" t="str">
        <f>_xlfn.XLOOKUP(D178,'DEST TAGs'!$A$2:$A$5,'DEST TAGs'!$B$2:$B$5,"--",0)</f>
        <v>--</v>
      </c>
      <c r="F178" t="s">
        <v>322</v>
      </c>
      <c r="G178" t="s">
        <v>323</v>
      </c>
      <c r="H178" t="s">
        <v>324</v>
      </c>
      <c r="I178" t="s">
        <v>112</v>
      </c>
      <c r="K178" t="s">
        <v>107</v>
      </c>
      <c r="L178" t="s">
        <v>108</v>
      </c>
      <c r="M178">
        <v>-2370.7485000000001</v>
      </c>
      <c r="N178">
        <v>0</v>
      </c>
      <c r="O178">
        <v>487.1</v>
      </c>
      <c r="P178" t="str">
        <f>_xlfn.XLOOKUP(G178,'Kraken Trades'!$A$2:$A$28,'Kraken Trades'!$A$2:$A$28,"--",0)</f>
        <v>TJIBQF-TM45I-A6J5AF</v>
      </c>
      <c r="Q178" t="str">
        <f>_xlfn.XLOOKUP(G178,'Kraken Trades'!$A$2:$A$28,'Kraken Trades'!$B$2:$B$28,"--",0)</f>
        <v>OGDI6R-RP3IF-7AVP4Q</v>
      </c>
      <c r="R178" t="str">
        <f>_xlfn.XLOOKUP(G178,'Kraken Trades'!$A$2:$A$28,'Kraken Trades'!$C$2:$C$28,"--",0)</f>
        <v>XRPGBP</v>
      </c>
      <c r="S178">
        <f>_xlfn.XLOOKUP(G178,'Kraken Trades'!$A$2:$A$28,'Kraken Trades'!$D$2:$D$28,"--",0)</f>
        <v>3.72337962962963E-2</v>
      </c>
      <c r="T178" t="str">
        <f>_xlfn.XLOOKUP(G178,'Kraken Trades'!$A$2:$A$28,'Kraken Trades'!$E$2:$E$28,"--",0)</f>
        <v>buy</v>
      </c>
      <c r="U178" t="str">
        <f>_xlfn.XLOOKUP(G178,'Kraken Trades'!$A$2:$A$28,'Kraken Trades'!$F$2:$F$28,"--",0)</f>
        <v>market</v>
      </c>
      <c r="V178">
        <f>_xlfn.XLOOKUP(G178,'Kraken Trades'!$A$2:$A$28,'Kraken Trades'!$G$2:$G$28,"--",0)</f>
        <v>0.38736454999999997</v>
      </c>
      <c r="W178">
        <f>_xlfn.XLOOKUP(G178,'Kraken Trades'!$A$2:$A$28,'Kraken Trades'!$H$2:$H$28,"--",0)</f>
        <v>2370.7485109999998</v>
      </c>
      <c r="X178">
        <f>_xlfn.XLOOKUP(G178,'Kraken Trades'!$A$2:$A$28,'Kraken Trades'!$I$2:$I$28,"--",0)</f>
        <v>6.1639461300000002</v>
      </c>
      <c r="Y178">
        <f>_xlfn.XLOOKUP(G178,'Kraken Trades'!$A$2:$A$28,'Kraken Trades'!$J$2:$J$28,"--",0)</f>
        <v>6120.2</v>
      </c>
      <c r="Z178">
        <f>_xlfn.XLOOKUP(G178,'Kraken Trades'!$A$2:$A$28,'Kraken Trades'!$K$2:$K$28,"--",0)</f>
        <v>0</v>
      </c>
      <c r="AA178" t="str">
        <f>_xlfn.XLOOKUP(G178,'Kraken Trades'!$A$2:$A$28,'Kraken Trades'!$L$2:$L$28,"--",0)</f>
        <v>initiated</v>
      </c>
      <c r="AB178" t="str">
        <f>_xlfn.XLOOKUP(G178,'Kraken Trades'!$A$2:$A$28,'Kraken Trades'!$M$2:$M$28,"--",0)</f>
        <v>LLNSCU-V5OHG-EO7O3S,LDFM5J-SBSXL-PYALZ4,LUBSV2-WX7AI-AUSBJA</v>
      </c>
    </row>
    <row r="179" spans="1:28" x14ac:dyDescent="0.15">
      <c r="A179" s="78">
        <v>45104</v>
      </c>
      <c r="B179" t="s">
        <v>104</v>
      </c>
      <c r="E179" t="str">
        <f>_xlfn.XLOOKUP(D179,'DEST TAGs'!$A$2:$A$5,'DEST TAGs'!$B$2:$B$5,"--",0)</f>
        <v>--</v>
      </c>
      <c r="F179" t="s">
        <v>325</v>
      </c>
      <c r="G179" t="s">
        <v>323</v>
      </c>
      <c r="H179" t="s">
        <v>324</v>
      </c>
      <c r="I179" t="s">
        <v>112</v>
      </c>
      <c r="K179" t="s">
        <v>107</v>
      </c>
      <c r="L179" t="s">
        <v>114</v>
      </c>
      <c r="M179">
        <v>6120.2</v>
      </c>
      <c r="N179">
        <v>0</v>
      </c>
      <c r="O179">
        <v>6120.2494429999997</v>
      </c>
      <c r="P179" t="str">
        <f>_xlfn.XLOOKUP(G179,'Kraken Trades'!$A$2:$A$28,'Kraken Trades'!$A$2:$A$28,"--",0)</f>
        <v>TJIBQF-TM45I-A6J5AF</v>
      </c>
      <c r="Q179" t="str">
        <f>_xlfn.XLOOKUP(G179,'Kraken Trades'!$A$2:$A$28,'Kraken Trades'!$B$2:$B$28,"--",0)</f>
        <v>OGDI6R-RP3IF-7AVP4Q</v>
      </c>
      <c r="R179" t="str">
        <f>_xlfn.XLOOKUP(G179,'Kraken Trades'!$A$2:$A$28,'Kraken Trades'!$C$2:$C$28,"--",0)</f>
        <v>XRPGBP</v>
      </c>
      <c r="S179">
        <f>_xlfn.XLOOKUP(G179,'Kraken Trades'!$A$2:$A$28,'Kraken Trades'!$D$2:$D$28,"--",0)</f>
        <v>3.72337962962963E-2</v>
      </c>
      <c r="T179" t="str">
        <f>_xlfn.XLOOKUP(G179,'Kraken Trades'!$A$2:$A$28,'Kraken Trades'!$E$2:$E$28,"--",0)</f>
        <v>buy</v>
      </c>
      <c r="U179" t="str">
        <f>_xlfn.XLOOKUP(G179,'Kraken Trades'!$A$2:$A$28,'Kraken Trades'!$F$2:$F$28,"--",0)</f>
        <v>market</v>
      </c>
      <c r="V179">
        <f>_xlfn.XLOOKUP(G179,'Kraken Trades'!$A$2:$A$28,'Kraken Trades'!$G$2:$G$28,"--",0)</f>
        <v>0.38736454999999997</v>
      </c>
      <c r="W179">
        <f>_xlfn.XLOOKUP(G179,'Kraken Trades'!$A$2:$A$28,'Kraken Trades'!$H$2:$H$28,"--",0)</f>
        <v>2370.7485109999998</v>
      </c>
      <c r="X179">
        <f>_xlfn.XLOOKUP(G179,'Kraken Trades'!$A$2:$A$28,'Kraken Trades'!$I$2:$I$28,"--",0)</f>
        <v>6.1639461300000002</v>
      </c>
      <c r="Y179">
        <f>_xlfn.XLOOKUP(G179,'Kraken Trades'!$A$2:$A$28,'Kraken Trades'!$J$2:$J$28,"--",0)</f>
        <v>6120.2</v>
      </c>
      <c r="Z179">
        <f>_xlfn.XLOOKUP(G179,'Kraken Trades'!$A$2:$A$28,'Kraken Trades'!$K$2:$K$28,"--",0)</f>
        <v>0</v>
      </c>
      <c r="AA179" t="str">
        <f>_xlfn.XLOOKUP(G179,'Kraken Trades'!$A$2:$A$28,'Kraken Trades'!$L$2:$L$28,"--",0)</f>
        <v>initiated</v>
      </c>
      <c r="AB179" t="str">
        <f>_xlfn.XLOOKUP(G179,'Kraken Trades'!$A$2:$A$28,'Kraken Trades'!$M$2:$M$28,"--",0)</f>
        <v>LLNSCU-V5OHG-EO7O3S,LDFM5J-SBSXL-PYALZ4,LUBSV2-WX7AI-AUSBJA</v>
      </c>
    </row>
    <row r="180" spans="1:28" x14ac:dyDescent="0.15">
      <c r="A180" s="78">
        <v>45104</v>
      </c>
      <c r="B180" t="s">
        <v>104</v>
      </c>
      <c r="E180" t="str">
        <f>_xlfn.XLOOKUP(D180,'DEST TAGs'!$A$2:$A$5,'DEST TAGs'!$B$2:$B$5,"--",0)</f>
        <v>--</v>
      </c>
      <c r="F180" t="s">
        <v>326</v>
      </c>
      <c r="G180" t="s">
        <v>323</v>
      </c>
      <c r="H180" t="s">
        <v>324</v>
      </c>
      <c r="I180" t="s">
        <v>112</v>
      </c>
      <c r="K180" t="s">
        <v>107</v>
      </c>
      <c r="L180" t="s">
        <v>116</v>
      </c>
      <c r="M180">
        <v>0</v>
      </c>
      <c r="N180">
        <v>785.12</v>
      </c>
      <c r="O180">
        <v>669.22</v>
      </c>
      <c r="P180" t="str">
        <f>_xlfn.XLOOKUP(G180,'Kraken Trades'!$A$2:$A$28,'Kraken Trades'!$A$2:$A$28,"--",0)</f>
        <v>TJIBQF-TM45I-A6J5AF</v>
      </c>
      <c r="Q180" t="str">
        <f>_xlfn.XLOOKUP(G180,'Kraken Trades'!$A$2:$A$28,'Kraken Trades'!$B$2:$B$28,"--",0)</f>
        <v>OGDI6R-RP3IF-7AVP4Q</v>
      </c>
      <c r="R180" t="str">
        <f>_xlfn.XLOOKUP(G180,'Kraken Trades'!$A$2:$A$28,'Kraken Trades'!$C$2:$C$28,"--",0)</f>
        <v>XRPGBP</v>
      </c>
      <c r="S180">
        <f>_xlfn.XLOOKUP(G180,'Kraken Trades'!$A$2:$A$28,'Kraken Trades'!$D$2:$D$28,"--",0)</f>
        <v>3.72337962962963E-2</v>
      </c>
      <c r="T180" t="str">
        <f>_xlfn.XLOOKUP(G180,'Kraken Trades'!$A$2:$A$28,'Kraken Trades'!$E$2:$E$28,"--",0)</f>
        <v>buy</v>
      </c>
      <c r="U180" t="str">
        <f>_xlfn.XLOOKUP(G180,'Kraken Trades'!$A$2:$A$28,'Kraken Trades'!$F$2:$F$28,"--",0)</f>
        <v>market</v>
      </c>
      <c r="V180">
        <f>_xlfn.XLOOKUP(G180,'Kraken Trades'!$A$2:$A$28,'Kraken Trades'!$G$2:$G$28,"--",0)</f>
        <v>0.38736454999999997</v>
      </c>
      <c r="W180">
        <f>_xlfn.XLOOKUP(G180,'Kraken Trades'!$A$2:$A$28,'Kraken Trades'!$H$2:$H$28,"--",0)</f>
        <v>2370.7485109999998</v>
      </c>
      <c r="X180">
        <f>_xlfn.XLOOKUP(G180,'Kraken Trades'!$A$2:$A$28,'Kraken Trades'!$I$2:$I$28,"--",0)</f>
        <v>6.1639461300000002</v>
      </c>
      <c r="Y180">
        <f>_xlfn.XLOOKUP(G180,'Kraken Trades'!$A$2:$A$28,'Kraken Trades'!$J$2:$J$28,"--",0)</f>
        <v>6120.2</v>
      </c>
      <c r="Z180">
        <f>_xlfn.XLOOKUP(G180,'Kraken Trades'!$A$2:$A$28,'Kraken Trades'!$K$2:$K$28,"--",0)</f>
        <v>0</v>
      </c>
      <c r="AA180" t="str">
        <f>_xlfn.XLOOKUP(G180,'Kraken Trades'!$A$2:$A$28,'Kraken Trades'!$L$2:$L$28,"--",0)</f>
        <v>initiated</v>
      </c>
      <c r="AB180" t="str">
        <f>_xlfn.XLOOKUP(G180,'Kraken Trades'!$A$2:$A$28,'Kraken Trades'!$M$2:$M$28,"--",0)</f>
        <v>LLNSCU-V5OHG-EO7O3S,LDFM5J-SBSXL-PYALZ4,LUBSV2-WX7AI-AUSBJA</v>
      </c>
    </row>
    <row r="181" spans="1:28" x14ac:dyDescent="0.15">
      <c r="A181" s="78">
        <v>45104</v>
      </c>
      <c r="B181" t="s">
        <v>104</v>
      </c>
      <c r="E181" t="str">
        <f>_xlfn.XLOOKUP(D181,'DEST TAGs'!$A$2:$A$5,'DEST TAGs'!$B$2:$B$5,"--",0)</f>
        <v>--</v>
      </c>
      <c r="G181" t="s">
        <v>327</v>
      </c>
      <c r="H181" t="s">
        <v>328</v>
      </c>
      <c r="I181" t="s">
        <v>118</v>
      </c>
      <c r="K181" t="s">
        <v>107</v>
      </c>
      <c r="L181" t="s">
        <v>114</v>
      </c>
      <c r="M181">
        <v>-6120</v>
      </c>
      <c r="N181">
        <v>0.2</v>
      </c>
      <c r="P181" t="str">
        <f>_xlfn.XLOOKUP(G181,'Kraken Trades'!$A$2:$A$28,'Kraken Trades'!$A$2:$A$28,"--",0)</f>
        <v>--</v>
      </c>
      <c r="Q181" t="str">
        <f>_xlfn.XLOOKUP(G181,'Kraken Trades'!$A$2:$A$28,'Kraken Trades'!$B$2:$B$28,"--",0)</f>
        <v>--</v>
      </c>
      <c r="R181" t="str">
        <f>_xlfn.XLOOKUP(G181,'Kraken Trades'!$A$2:$A$28,'Kraken Trades'!$C$2:$C$28,"--",0)</f>
        <v>--</v>
      </c>
      <c r="S181" t="str">
        <f>_xlfn.XLOOKUP(G181,'Kraken Trades'!$A$2:$A$28,'Kraken Trades'!$D$2:$D$28,"--",0)</f>
        <v>--</v>
      </c>
      <c r="T181" t="str">
        <f>_xlfn.XLOOKUP(G181,'Kraken Trades'!$A$2:$A$28,'Kraken Trades'!$E$2:$E$28,"--",0)</f>
        <v>--</v>
      </c>
      <c r="U181" t="str">
        <f>_xlfn.XLOOKUP(G181,'Kraken Trades'!$A$2:$A$28,'Kraken Trades'!$F$2:$F$28,"--",0)</f>
        <v>--</v>
      </c>
      <c r="V181" t="str">
        <f>_xlfn.XLOOKUP(G181,'Kraken Trades'!$A$2:$A$28,'Kraken Trades'!$G$2:$G$28,"--",0)</f>
        <v>--</v>
      </c>
      <c r="W181" t="str">
        <f>_xlfn.XLOOKUP(G181,'Kraken Trades'!$A$2:$A$28,'Kraken Trades'!$H$2:$H$28,"--",0)</f>
        <v>--</v>
      </c>
      <c r="X181" t="str">
        <f>_xlfn.XLOOKUP(G181,'Kraken Trades'!$A$2:$A$28,'Kraken Trades'!$I$2:$I$28,"--",0)</f>
        <v>--</v>
      </c>
      <c r="Y181" t="str">
        <f>_xlfn.XLOOKUP(G181,'Kraken Trades'!$A$2:$A$28,'Kraken Trades'!$J$2:$J$28,"--",0)</f>
        <v>--</v>
      </c>
      <c r="Z181" t="str">
        <f>_xlfn.XLOOKUP(G181,'Kraken Trades'!$A$2:$A$28,'Kraken Trades'!$K$2:$K$28,"--",0)</f>
        <v>--</v>
      </c>
      <c r="AA181" t="str">
        <f>_xlfn.XLOOKUP(G181,'Kraken Trades'!$A$2:$A$28,'Kraken Trades'!$L$2:$L$28,"--",0)</f>
        <v>--</v>
      </c>
      <c r="AB181" t="str">
        <f>_xlfn.XLOOKUP(G181,'Kraken Trades'!$A$2:$A$28,'Kraken Trades'!$M$2:$M$28,"--",0)</f>
        <v>--</v>
      </c>
    </row>
    <row r="182" spans="1:28" x14ac:dyDescent="0.15">
      <c r="A182" s="78">
        <v>45104</v>
      </c>
      <c r="B182" t="s">
        <v>104</v>
      </c>
      <c r="C182" s="77" t="s">
        <v>76</v>
      </c>
      <c r="D182">
        <v>547786843</v>
      </c>
      <c r="E182" t="str">
        <f>_xlfn.XLOOKUP(D182,'DEST TAGs'!$A$2:$A$5,'DEST TAGs'!$B$2:$B$5,"--",0)</f>
        <v>Aleksey Trofimov</v>
      </c>
      <c r="F182" t="s">
        <v>329</v>
      </c>
      <c r="G182" t="s">
        <v>327</v>
      </c>
      <c r="H182" t="s">
        <v>330</v>
      </c>
      <c r="I182" t="s">
        <v>118</v>
      </c>
      <c r="K182" t="s">
        <v>107</v>
      </c>
      <c r="L182" t="s">
        <v>114</v>
      </c>
      <c r="M182">
        <v>-6120</v>
      </c>
      <c r="N182">
        <v>0.2</v>
      </c>
      <c r="O182">
        <v>4.9443340000000002E-2</v>
      </c>
      <c r="P182" t="str">
        <f>_xlfn.XLOOKUP(G182,'Kraken Trades'!$A$2:$A$28,'Kraken Trades'!$A$2:$A$28,"--",0)</f>
        <v>--</v>
      </c>
      <c r="Q182" t="str">
        <f>_xlfn.XLOOKUP(G182,'Kraken Trades'!$A$2:$A$28,'Kraken Trades'!$B$2:$B$28,"--",0)</f>
        <v>--</v>
      </c>
      <c r="R182" t="str">
        <f>_xlfn.XLOOKUP(G182,'Kraken Trades'!$A$2:$A$28,'Kraken Trades'!$C$2:$C$28,"--",0)</f>
        <v>--</v>
      </c>
      <c r="S182" t="str">
        <f>_xlfn.XLOOKUP(G182,'Kraken Trades'!$A$2:$A$28,'Kraken Trades'!$D$2:$D$28,"--",0)</f>
        <v>--</v>
      </c>
      <c r="T182" t="str">
        <f>_xlfn.XLOOKUP(G182,'Kraken Trades'!$A$2:$A$28,'Kraken Trades'!$E$2:$E$28,"--",0)</f>
        <v>--</v>
      </c>
      <c r="U182" t="str">
        <f>_xlfn.XLOOKUP(G182,'Kraken Trades'!$A$2:$A$28,'Kraken Trades'!$F$2:$F$28,"--",0)</f>
        <v>--</v>
      </c>
      <c r="V182" t="str">
        <f>_xlfn.XLOOKUP(G182,'Kraken Trades'!$A$2:$A$28,'Kraken Trades'!$G$2:$G$28,"--",0)</f>
        <v>--</v>
      </c>
      <c r="W182" t="str">
        <f>_xlfn.XLOOKUP(G182,'Kraken Trades'!$A$2:$A$28,'Kraken Trades'!$H$2:$H$28,"--",0)</f>
        <v>--</v>
      </c>
      <c r="X182" t="str">
        <f>_xlfn.XLOOKUP(G182,'Kraken Trades'!$A$2:$A$28,'Kraken Trades'!$I$2:$I$28,"--",0)</f>
        <v>--</v>
      </c>
      <c r="Y182" t="str">
        <f>_xlfn.XLOOKUP(G182,'Kraken Trades'!$A$2:$A$28,'Kraken Trades'!$J$2:$J$28,"--",0)</f>
        <v>--</v>
      </c>
      <c r="Z182" t="str">
        <f>_xlfn.XLOOKUP(G182,'Kraken Trades'!$A$2:$A$28,'Kraken Trades'!$K$2:$K$28,"--",0)</f>
        <v>--</v>
      </c>
      <c r="AA182" t="str">
        <f>_xlfn.XLOOKUP(G182,'Kraken Trades'!$A$2:$A$28,'Kraken Trades'!$L$2:$L$28,"--",0)</f>
        <v>--</v>
      </c>
      <c r="AB182" t="str">
        <f>_xlfn.XLOOKUP(G182,'Kraken Trades'!$A$2:$A$28,'Kraken Trades'!$M$2:$M$28,"--",0)</f>
        <v>--</v>
      </c>
    </row>
    <row r="183" spans="1:28" x14ac:dyDescent="0.15">
      <c r="A183" s="78">
        <v>45104</v>
      </c>
      <c r="B183" t="s">
        <v>104</v>
      </c>
      <c r="E183" t="str">
        <f>_xlfn.XLOOKUP(D183,'DEST TAGs'!$A$2:$A$5,'DEST TAGs'!$B$2:$B$5,"--",0)</f>
        <v>--</v>
      </c>
      <c r="F183" t="s">
        <v>331</v>
      </c>
      <c r="G183" t="s">
        <v>332</v>
      </c>
      <c r="H183" s="79" t="s">
        <v>333</v>
      </c>
      <c r="I183" t="s">
        <v>112</v>
      </c>
      <c r="K183" t="s">
        <v>107</v>
      </c>
      <c r="L183" s="79" t="s">
        <v>108</v>
      </c>
      <c r="M183">
        <v>-310.58030000000002</v>
      </c>
      <c r="N183">
        <v>0</v>
      </c>
      <c r="O183" s="79">
        <v>176.5197</v>
      </c>
      <c r="P183" t="str">
        <f>_xlfn.XLOOKUP(G183,'Kraken Trades'!$A$2:$A$28,'Kraken Trades'!$A$2:$A$28,"--",0)</f>
        <v>TWKZY3-4OKNO-MWV523</v>
      </c>
      <c r="Q183" t="str">
        <f>_xlfn.XLOOKUP(G183,'Kraken Trades'!$A$2:$A$28,'Kraken Trades'!$B$2:$B$28,"--",0)</f>
        <v>O6MF5N-KP7DR-EH74Y2</v>
      </c>
      <c r="R183" t="str">
        <f>_xlfn.XLOOKUP(G183,'Kraken Trades'!$A$2:$A$28,'Kraken Trades'!$C$2:$C$28,"--",0)</f>
        <v>XRPGBP</v>
      </c>
      <c r="S183">
        <f>_xlfn.XLOOKUP(G183,'Kraken Trades'!$A$2:$A$28,'Kraken Trades'!$D$2:$D$28,"--",0)</f>
        <v>1.8910879629629628E-2</v>
      </c>
      <c r="T183" t="str">
        <f>_xlfn.XLOOKUP(G183,'Kraken Trades'!$A$2:$A$28,'Kraken Trades'!$E$2:$E$28,"--",0)</f>
        <v>buy</v>
      </c>
      <c r="U183" t="str">
        <f>_xlfn.XLOOKUP(G183,'Kraken Trades'!$A$2:$A$28,'Kraken Trades'!$F$2:$F$28,"--",0)</f>
        <v>market</v>
      </c>
      <c r="V183">
        <f>_xlfn.XLOOKUP(G183,'Kraken Trades'!$A$2:$A$28,'Kraken Trades'!$G$2:$G$28,"--",0)</f>
        <v>0.38812838999999999</v>
      </c>
      <c r="W183">
        <f>_xlfn.XLOOKUP(G183,'Kraken Trades'!$A$2:$A$28,'Kraken Trades'!$H$2:$H$28,"--",0)</f>
        <v>310.58033490000003</v>
      </c>
      <c r="X183">
        <f>_xlfn.XLOOKUP(G183,'Kraken Trades'!$A$2:$A$28,'Kraken Trades'!$I$2:$I$28,"--",0)</f>
        <v>0.80750887000000005</v>
      </c>
      <c r="Y183">
        <f>_xlfn.XLOOKUP(G183,'Kraken Trades'!$A$2:$A$28,'Kraken Trades'!$J$2:$J$28,"--",0)</f>
        <v>800.2</v>
      </c>
      <c r="Z183">
        <f>_xlfn.XLOOKUP(G183,'Kraken Trades'!$A$2:$A$28,'Kraken Trades'!$K$2:$K$28,"--",0)</f>
        <v>0</v>
      </c>
      <c r="AA183" t="str">
        <f>_xlfn.XLOOKUP(G183,'Kraken Trades'!$A$2:$A$28,'Kraken Trades'!$L$2:$L$28,"--",0)</f>
        <v>initiated</v>
      </c>
      <c r="AB183" t="str">
        <f>_xlfn.XLOOKUP(G183,'Kraken Trades'!$A$2:$A$28,'Kraken Trades'!$M$2:$M$28,"--",0)</f>
        <v>LQGCOP-MDJCB-5FVDPW,LBTWTL-SDRTI-CCBGAN,LOUUK5-XAOKU-VYIOQN</v>
      </c>
    </row>
    <row r="184" spans="1:28" x14ac:dyDescent="0.15">
      <c r="A184" s="78">
        <v>45104</v>
      </c>
      <c r="B184" t="s">
        <v>104</v>
      </c>
      <c r="E184" t="str">
        <f>_xlfn.XLOOKUP(D184,'DEST TAGs'!$A$2:$A$5,'DEST TAGs'!$B$2:$B$5,"--",0)</f>
        <v>--</v>
      </c>
      <c r="F184" t="s">
        <v>334</v>
      </c>
      <c r="G184" t="s">
        <v>332</v>
      </c>
      <c r="H184" t="s">
        <v>333</v>
      </c>
      <c r="I184" t="s">
        <v>112</v>
      </c>
      <c r="K184" t="s">
        <v>107</v>
      </c>
      <c r="L184" t="s">
        <v>114</v>
      </c>
      <c r="M184">
        <v>800.2</v>
      </c>
      <c r="N184">
        <v>0</v>
      </c>
      <c r="O184">
        <v>800.24944330000005</v>
      </c>
      <c r="P184" t="str">
        <f>_xlfn.XLOOKUP(G184,'Kraken Trades'!$A$2:$A$28,'Kraken Trades'!$A$2:$A$28,"--",0)</f>
        <v>TWKZY3-4OKNO-MWV523</v>
      </c>
      <c r="Q184" t="str">
        <f>_xlfn.XLOOKUP(G184,'Kraken Trades'!$A$2:$A$28,'Kraken Trades'!$B$2:$B$28,"--",0)</f>
        <v>O6MF5N-KP7DR-EH74Y2</v>
      </c>
      <c r="R184" t="str">
        <f>_xlfn.XLOOKUP(G184,'Kraken Trades'!$A$2:$A$28,'Kraken Trades'!$C$2:$C$28,"--",0)</f>
        <v>XRPGBP</v>
      </c>
      <c r="S184">
        <f>_xlfn.XLOOKUP(G184,'Kraken Trades'!$A$2:$A$28,'Kraken Trades'!$D$2:$D$28,"--",0)</f>
        <v>1.8910879629629628E-2</v>
      </c>
      <c r="T184" t="str">
        <f>_xlfn.XLOOKUP(G184,'Kraken Trades'!$A$2:$A$28,'Kraken Trades'!$E$2:$E$28,"--",0)</f>
        <v>buy</v>
      </c>
      <c r="U184" t="str">
        <f>_xlfn.XLOOKUP(G184,'Kraken Trades'!$A$2:$A$28,'Kraken Trades'!$F$2:$F$28,"--",0)</f>
        <v>market</v>
      </c>
      <c r="V184">
        <f>_xlfn.XLOOKUP(G184,'Kraken Trades'!$A$2:$A$28,'Kraken Trades'!$G$2:$G$28,"--",0)</f>
        <v>0.38812838999999999</v>
      </c>
      <c r="W184">
        <f>_xlfn.XLOOKUP(G184,'Kraken Trades'!$A$2:$A$28,'Kraken Trades'!$H$2:$H$28,"--",0)</f>
        <v>310.58033490000003</v>
      </c>
      <c r="X184">
        <f>_xlfn.XLOOKUP(G184,'Kraken Trades'!$A$2:$A$28,'Kraken Trades'!$I$2:$I$28,"--",0)</f>
        <v>0.80750887000000005</v>
      </c>
      <c r="Y184">
        <f>_xlfn.XLOOKUP(G184,'Kraken Trades'!$A$2:$A$28,'Kraken Trades'!$J$2:$J$28,"--",0)</f>
        <v>800.2</v>
      </c>
      <c r="Z184">
        <f>_xlfn.XLOOKUP(G184,'Kraken Trades'!$A$2:$A$28,'Kraken Trades'!$K$2:$K$28,"--",0)</f>
        <v>0</v>
      </c>
      <c r="AA184" t="str">
        <f>_xlfn.XLOOKUP(G184,'Kraken Trades'!$A$2:$A$28,'Kraken Trades'!$L$2:$L$28,"--",0)</f>
        <v>initiated</v>
      </c>
      <c r="AB184" t="str">
        <f>_xlfn.XLOOKUP(G184,'Kraken Trades'!$A$2:$A$28,'Kraken Trades'!$M$2:$M$28,"--",0)</f>
        <v>LQGCOP-MDJCB-5FVDPW,LBTWTL-SDRTI-CCBGAN,LOUUK5-XAOKU-VYIOQN</v>
      </c>
    </row>
    <row r="185" spans="1:28" x14ac:dyDescent="0.15">
      <c r="A185" s="78">
        <v>45104</v>
      </c>
      <c r="B185" t="s">
        <v>104</v>
      </c>
      <c r="E185" t="str">
        <f>_xlfn.XLOOKUP(D185,'DEST TAGs'!$A$2:$A$5,'DEST TAGs'!$B$2:$B$5,"--",0)</f>
        <v>--</v>
      </c>
      <c r="F185" t="s">
        <v>335</v>
      </c>
      <c r="G185" t="s">
        <v>332</v>
      </c>
      <c r="H185" t="s">
        <v>333</v>
      </c>
      <c r="I185" t="s">
        <v>112</v>
      </c>
      <c r="K185" t="s">
        <v>107</v>
      </c>
      <c r="L185" t="s">
        <v>116</v>
      </c>
      <c r="M185">
        <v>0</v>
      </c>
      <c r="N185">
        <v>102.8</v>
      </c>
      <c r="O185">
        <v>566.41999999999996</v>
      </c>
      <c r="P185" t="str">
        <f>_xlfn.XLOOKUP(G185,'Kraken Trades'!$A$2:$A$28,'Kraken Trades'!$A$2:$A$28,"--",0)</f>
        <v>TWKZY3-4OKNO-MWV523</v>
      </c>
      <c r="Q185" t="str">
        <f>_xlfn.XLOOKUP(G185,'Kraken Trades'!$A$2:$A$28,'Kraken Trades'!$B$2:$B$28,"--",0)</f>
        <v>O6MF5N-KP7DR-EH74Y2</v>
      </c>
      <c r="R185" t="str">
        <f>_xlfn.XLOOKUP(G185,'Kraken Trades'!$A$2:$A$28,'Kraken Trades'!$C$2:$C$28,"--",0)</f>
        <v>XRPGBP</v>
      </c>
      <c r="S185">
        <f>_xlfn.XLOOKUP(G185,'Kraken Trades'!$A$2:$A$28,'Kraken Trades'!$D$2:$D$28,"--",0)</f>
        <v>1.8910879629629628E-2</v>
      </c>
      <c r="T185" t="str">
        <f>_xlfn.XLOOKUP(G185,'Kraken Trades'!$A$2:$A$28,'Kraken Trades'!$E$2:$E$28,"--",0)</f>
        <v>buy</v>
      </c>
      <c r="U185" t="str">
        <f>_xlfn.XLOOKUP(G185,'Kraken Trades'!$A$2:$A$28,'Kraken Trades'!$F$2:$F$28,"--",0)</f>
        <v>market</v>
      </c>
      <c r="V185">
        <f>_xlfn.XLOOKUP(G185,'Kraken Trades'!$A$2:$A$28,'Kraken Trades'!$G$2:$G$28,"--",0)</f>
        <v>0.38812838999999999</v>
      </c>
      <c r="W185">
        <f>_xlfn.XLOOKUP(G185,'Kraken Trades'!$A$2:$A$28,'Kraken Trades'!$H$2:$H$28,"--",0)</f>
        <v>310.58033490000003</v>
      </c>
      <c r="X185">
        <f>_xlfn.XLOOKUP(G185,'Kraken Trades'!$A$2:$A$28,'Kraken Trades'!$I$2:$I$28,"--",0)</f>
        <v>0.80750887000000005</v>
      </c>
      <c r="Y185">
        <f>_xlfn.XLOOKUP(G185,'Kraken Trades'!$A$2:$A$28,'Kraken Trades'!$J$2:$J$28,"--",0)</f>
        <v>800.2</v>
      </c>
      <c r="Z185">
        <f>_xlfn.XLOOKUP(G185,'Kraken Trades'!$A$2:$A$28,'Kraken Trades'!$K$2:$K$28,"--",0)</f>
        <v>0</v>
      </c>
      <c r="AA185" t="str">
        <f>_xlfn.XLOOKUP(G185,'Kraken Trades'!$A$2:$A$28,'Kraken Trades'!$L$2:$L$28,"--",0)</f>
        <v>initiated</v>
      </c>
      <c r="AB185" t="str">
        <f>_xlfn.XLOOKUP(G185,'Kraken Trades'!$A$2:$A$28,'Kraken Trades'!$M$2:$M$28,"--",0)</f>
        <v>LQGCOP-MDJCB-5FVDPW,LBTWTL-SDRTI-CCBGAN,LOUUK5-XAOKU-VYIOQN</v>
      </c>
    </row>
    <row r="186" spans="1:28" x14ac:dyDescent="0.15">
      <c r="A186" s="78">
        <v>45104</v>
      </c>
      <c r="B186" t="s">
        <v>104</v>
      </c>
      <c r="E186" t="str">
        <f>_xlfn.XLOOKUP(D186,'DEST TAGs'!$A$2:$A$5,'DEST TAGs'!$B$2:$B$5,"--",0)</f>
        <v>--</v>
      </c>
      <c r="G186" t="s">
        <v>336</v>
      </c>
      <c r="H186" t="s">
        <v>337</v>
      </c>
      <c r="I186" t="s">
        <v>118</v>
      </c>
      <c r="K186" t="s">
        <v>107</v>
      </c>
      <c r="L186" t="s">
        <v>114</v>
      </c>
      <c r="M186">
        <v>-800</v>
      </c>
      <c r="N186">
        <v>0.2</v>
      </c>
      <c r="P186" t="str">
        <f>_xlfn.XLOOKUP(G186,'Kraken Trades'!$A$2:$A$28,'Kraken Trades'!$A$2:$A$28,"--",0)</f>
        <v>--</v>
      </c>
      <c r="Q186" t="str">
        <f>_xlfn.XLOOKUP(G186,'Kraken Trades'!$A$2:$A$28,'Kraken Trades'!$B$2:$B$28,"--",0)</f>
        <v>--</v>
      </c>
      <c r="R186" t="str">
        <f>_xlfn.XLOOKUP(G186,'Kraken Trades'!$A$2:$A$28,'Kraken Trades'!$C$2:$C$28,"--",0)</f>
        <v>--</v>
      </c>
      <c r="S186" t="str">
        <f>_xlfn.XLOOKUP(G186,'Kraken Trades'!$A$2:$A$28,'Kraken Trades'!$D$2:$D$28,"--",0)</f>
        <v>--</v>
      </c>
      <c r="T186" t="str">
        <f>_xlfn.XLOOKUP(G186,'Kraken Trades'!$A$2:$A$28,'Kraken Trades'!$E$2:$E$28,"--",0)</f>
        <v>--</v>
      </c>
      <c r="U186" t="str">
        <f>_xlfn.XLOOKUP(G186,'Kraken Trades'!$A$2:$A$28,'Kraken Trades'!$F$2:$F$28,"--",0)</f>
        <v>--</v>
      </c>
      <c r="V186" t="str">
        <f>_xlfn.XLOOKUP(G186,'Kraken Trades'!$A$2:$A$28,'Kraken Trades'!$G$2:$G$28,"--",0)</f>
        <v>--</v>
      </c>
      <c r="W186" t="str">
        <f>_xlfn.XLOOKUP(G186,'Kraken Trades'!$A$2:$A$28,'Kraken Trades'!$H$2:$H$28,"--",0)</f>
        <v>--</v>
      </c>
      <c r="X186" t="str">
        <f>_xlfn.XLOOKUP(G186,'Kraken Trades'!$A$2:$A$28,'Kraken Trades'!$I$2:$I$28,"--",0)</f>
        <v>--</v>
      </c>
      <c r="Y186" t="str">
        <f>_xlfn.XLOOKUP(G186,'Kraken Trades'!$A$2:$A$28,'Kraken Trades'!$J$2:$J$28,"--",0)</f>
        <v>--</v>
      </c>
      <c r="Z186" t="str">
        <f>_xlfn.XLOOKUP(G186,'Kraken Trades'!$A$2:$A$28,'Kraken Trades'!$K$2:$K$28,"--",0)</f>
        <v>--</v>
      </c>
      <c r="AA186" t="str">
        <f>_xlfn.XLOOKUP(G186,'Kraken Trades'!$A$2:$A$28,'Kraken Trades'!$L$2:$L$28,"--",0)</f>
        <v>--</v>
      </c>
      <c r="AB186" t="str">
        <f>_xlfn.XLOOKUP(G186,'Kraken Trades'!$A$2:$A$28,'Kraken Trades'!$M$2:$M$28,"--",0)</f>
        <v>--</v>
      </c>
    </row>
    <row r="187" spans="1:28" x14ac:dyDescent="0.15">
      <c r="A187" s="78">
        <v>45104</v>
      </c>
      <c r="B187" t="s">
        <v>104</v>
      </c>
      <c r="C187" s="77" t="s">
        <v>77</v>
      </c>
      <c r="D187">
        <v>442734179</v>
      </c>
      <c r="E187" t="str">
        <f>_xlfn.XLOOKUP(D187,'DEST TAGs'!$A$2:$A$5,'DEST TAGs'!$B$2:$B$5,"--",0)</f>
        <v>Evgeniy Ulyukin</v>
      </c>
      <c r="F187" t="s">
        <v>338</v>
      </c>
      <c r="G187" t="s">
        <v>336</v>
      </c>
      <c r="H187" s="79" t="s">
        <v>339</v>
      </c>
      <c r="I187" t="s">
        <v>118</v>
      </c>
      <c r="K187" t="s">
        <v>107</v>
      </c>
      <c r="L187" s="79" t="s">
        <v>114</v>
      </c>
      <c r="M187">
        <v>-800</v>
      </c>
      <c r="N187">
        <v>0.2</v>
      </c>
      <c r="O187" s="79">
        <v>4.9443340000000002E-2</v>
      </c>
      <c r="P187" t="str">
        <f>_xlfn.XLOOKUP(G187,'Kraken Trades'!$A$2:$A$28,'Kraken Trades'!$A$2:$A$28,"--",0)</f>
        <v>--</v>
      </c>
      <c r="Q187" t="str">
        <f>_xlfn.XLOOKUP(G187,'Kraken Trades'!$A$2:$A$28,'Kraken Trades'!$B$2:$B$28,"--",0)</f>
        <v>--</v>
      </c>
      <c r="R187" t="str">
        <f>_xlfn.XLOOKUP(G187,'Kraken Trades'!$A$2:$A$28,'Kraken Trades'!$C$2:$C$28,"--",0)</f>
        <v>--</v>
      </c>
      <c r="S187" t="str">
        <f>_xlfn.XLOOKUP(G187,'Kraken Trades'!$A$2:$A$28,'Kraken Trades'!$D$2:$D$28,"--",0)</f>
        <v>--</v>
      </c>
      <c r="T187" t="str">
        <f>_xlfn.XLOOKUP(G187,'Kraken Trades'!$A$2:$A$28,'Kraken Trades'!$E$2:$E$28,"--",0)</f>
        <v>--</v>
      </c>
      <c r="U187" t="str">
        <f>_xlfn.XLOOKUP(G187,'Kraken Trades'!$A$2:$A$28,'Kraken Trades'!$F$2:$F$28,"--",0)</f>
        <v>--</v>
      </c>
      <c r="V187" t="str">
        <f>_xlfn.XLOOKUP(G187,'Kraken Trades'!$A$2:$A$28,'Kraken Trades'!$G$2:$G$28,"--",0)</f>
        <v>--</v>
      </c>
      <c r="W187" t="str">
        <f>_xlfn.XLOOKUP(G187,'Kraken Trades'!$A$2:$A$28,'Kraken Trades'!$H$2:$H$28,"--",0)</f>
        <v>--</v>
      </c>
      <c r="X187" t="str">
        <f>_xlfn.XLOOKUP(G187,'Kraken Trades'!$A$2:$A$28,'Kraken Trades'!$I$2:$I$28,"--",0)</f>
        <v>--</v>
      </c>
      <c r="Y187" t="str">
        <f>_xlfn.XLOOKUP(G187,'Kraken Trades'!$A$2:$A$28,'Kraken Trades'!$J$2:$J$28,"--",0)</f>
        <v>--</v>
      </c>
      <c r="Z187" t="str">
        <f>_xlfn.XLOOKUP(G187,'Kraken Trades'!$A$2:$A$28,'Kraken Trades'!$K$2:$K$28,"--",0)</f>
        <v>--</v>
      </c>
      <c r="AA187" t="str">
        <f>_xlfn.XLOOKUP(G187,'Kraken Trades'!$A$2:$A$28,'Kraken Trades'!$L$2:$L$28,"--",0)</f>
        <v>--</v>
      </c>
      <c r="AB187" t="str">
        <f>_xlfn.XLOOKUP(G187,'Kraken Trades'!$A$2:$A$28,'Kraken Trades'!$M$2:$M$28,"--",0)</f>
        <v>--</v>
      </c>
    </row>
  </sheetData>
  <autoFilter ref="A2:AC2" xr:uid="{86BEFFBD-20DD-41C2-8B15-D1B9423BE686}"/>
  <mergeCells count="1">
    <mergeCell ref="P1:AB1"/>
  </mergeCells>
  <hyperlinks>
    <hyperlink ref="C72" r:id="rId1" xr:uid="{72A7FB28-C2D9-4B32-96F8-E10DEC9CAA20}"/>
    <hyperlink ref="C79" r:id="rId2" xr:uid="{1D268C48-8245-4FFB-AC6B-D5AEE9BF6E64}"/>
    <hyperlink ref="C84" r:id="rId3" xr:uid="{317E5B4F-4352-4BD5-9FF8-6B469EEB7CAA}"/>
    <hyperlink ref="C91" r:id="rId4" xr:uid="{1E19C42C-79F9-45FF-A5F5-64A5B162E8CD}"/>
    <hyperlink ref="C96" r:id="rId5" xr:uid="{ABB51007-CD86-40DC-8740-772F7AE06752}"/>
    <hyperlink ref="C103" r:id="rId6" xr:uid="{502AC10E-FEDF-448E-BA1E-92323CF498AC}"/>
    <hyperlink ref="C108" r:id="rId7" xr:uid="{EAFDB4F7-BF30-4B53-892A-D13D5E446B63}"/>
    <hyperlink ref="C115" r:id="rId8" xr:uid="{0E3226EB-F11E-4561-AA55-0B533B671B81}"/>
    <hyperlink ref="C122" r:id="rId9" xr:uid="{8F449BCF-ECB3-4759-B4F3-B7B92626F77E}"/>
    <hyperlink ref="C129" r:id="rId10" xr:uid="{6695A8CF-F933-45AA-95D9-62FB11CE4ED0}"/>
    <hyperlink ref="C136" r:id="rId11" xr:uid="{2C3CAB6F-7050-4120-A875-1EC18182B3CF}"/>
    <hyperlink ref="C143" r:id="rId12" xr:uid="{C0E227A9-5E78-4460-9AAE-4E4EDEEF3CD1}"/>
    <hyperlink ref="C148" r:id="rId13" xr:uid="{5BFB0B72-2F6F-4EA8-9C70-E0DCF5C7B337}"/>
    <hyperlink ref="C155" r:id="rId14" xr:uid="{FEA1B038-A914-4B89-8253-8C658E54FDAA}"/>
    <hyperlink ref="C162" r:id="rId15" xr:uid="{13DE86D4-8C46-41FA-8EF2-4C15457D74AD}"/>
    <hyperlink ref="C168" r:id="rId16" xr:uid="{36BEF85D-3995-4DD0-864D-A8D7954B8096}"/>
    <hyperlink ref="C175" r:id="rId17" xr:uid="{8A5DE7EC-4B23-4D95-8016-F8BE391C7987}"/>
    <hyperlink ref="C182" r:id="rId18" xr:uid="{AA669CF2-B3C7-4C0B-88C5-6E69D80D3467}"/>
    <hyperlink ref="C187" r:id="rId19" xr:uid="{1703DCFA-795E-4564-8D3A-519449DF3E3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4022-4D12-4B1A-A730-154C93ED5FBD}">
  <dimension ref="A1:M17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4.83203125" bestFit="1" customWidth="1"/>
    <col min="2" max="2" width="25.83203125" bestFit="1" customWidth="1"/>
    <col min="3" max="3" width="8.83203125" bestFit="1" customWidth="1"/>
    <col min="4" max="4" width="7.33203125" bestFit="1" customWidth="1"/>
    <col min="5" max="5" width="4.6640625" bestFit="1" customWidth="1"/>
    <col min="6" max="6" width="9" bestFit="1" customWidth="1"/>
    <col min="7" max="7" width="11.1640625" bestFit="1" customWidth="1"/>
    <col min="8" max="8" width="12.1640625" bestFit="1" customWidth="1"/>
    <col min="9" max="9" width="11.1640625" bestFit="1" customWidth="1"/>
    <col min="10" max="10" width="8.1640625" bestFit="1" customWidth="1"/>
    <col min="11" max="11" width="6.83203125" bestFit="1" customWidth="1"/>
    <col min="12" max="12" width="7.5" bestFit="1" customWidth="1"/>
    <col min="13" max="13" width="73.33203125" bestFit="1" customWidth="1"/>
  </cols>
  <sheetData>
    <row r="1" spans="1:13" x14ac:dyDescent="0.15">
      <c r="A1" t="s">
        <v>94</v>
      </c>
      <c r="B1" t="s">
        <v>95</v>
      </c>
      <c r="C1" t="s">
        <v>96</v>
      </c>
      <c r="D1" t="s">
        <v>86</v>
      </c>
      <c r="E1" t="s">
        <v>87</v>
      </c>
      <c r="F1" t="s">
        <v>97</v>
      </c>
      <c r="G1" t="s">
        <v>98</v>
      </c>
      <c r="H1" t="s">
        <v>99</v>
      </c>
      <c r="I1" t="s">
        <v>92</v>
      </c>
      <c r="J1" t="s">
        <v>100</v>
      </c>
      <c r="K1" t="s">
        <v>101</v>
      </c>
      <c r="L1" t="s">
        <v>102</v>
      </c>
      <c r="M1" t="s">
        <v>103</v>
      </c>
    </row>
    <row r="2" spans="1:13" x14ac:dyDescent="0.15">
      <c r="A2" t="s">
        <v>111</v>
      </c>
      <c r="B2" t="s">
        <v>340</v>
      </c>
      <c r="C2" t="s">
        <v>341</v>
      </c>
      <c r="D2" s="71">
        <v>2.754513888888889E-2</v>
      </c>
      <c r="E2" t="s">
        <v>342</v>
      </c>
      <c r="F2" t="s">
        <v>343</v>
      </c>
      <c r="G2">
        <v>0.28462990999999999</v>
      </c>
      <c r="H2">
        <v>1499.999636</v>
      </c>
      <c r="I2">
        <v>3.8999990499999999</v>
      </c>
      <c r="J2">
        <v>5270</v>
      </c>
      <c r="K2">
        <v>0</v>
      </c>
      <c r="L2" t="s">
        <v>344</v>
      </c>
      <c r="M2" t="s">
        <v>345</v>
      </c>
    </row>
    <row r="3" spans="1:13" x14ac:dyDescent="0.15">
      <c r="A3" t="s">
        <v>125</v>
      </c>
      <c r="B3" t="s">
        <v>346</v>
      </c>
      <c r="C3" t="s">
        <v>341</v>
      </c>
      <c r="D3" s="71">
        <v>9.6805555555555551E-3</v>
      </c>
      <c r="E3" t="s">
        <v>342</v>
      </c>
      <c r="F3" t="s">
        <v>343</v>
      </c>
      <c r="G3">
        <v>0.31800561999999999</v>
      </c>
      <c r="H3">
        <v>302.10534269999999</v>
      </c>
      <c r="I3">
        <v>0.78547389000000001</v>
      </c>
      <c r="J3">
        <v>950</v>
      </c>
      <c r="K3">
        <v>0</v>
      </c>
      <c r="L3" t="s">
        <v>344</v>
      </c>
      <c r="M3" t="s">
        <v>347</v>
      </c>
    </row>
    <row r="4" spans="1:13" x14ac:dyDescent="0.15">
      <c r="A4" t="s">
        <v>133</v>
      </c>
      <c r="B4" t="s">
        <v>348</v>
      </c>
      <c r="C4" t="s">
        <v>341</v>
      </c>
      <c r="D4" s="71">
        <v>3.551157407407407E-2</v>
      </c>
      <c r="E4" t="s">
        <v>342</v>
      </c>
      <c r="F4" t="s">
        <v>343</v>
      </c>
      <c r="G4">
        <v>0.31492010999999998</v>
      </c>
      <c r="H4">
        <v>850.28430979999996</v>
      </c>
      <c r="I4">
        <v>2.2107392099999998</v>
      </c>
      <c r="J4">
        <v>2700</v>
      </c>
      <c r="K4">
        <v>0</v>
      </c>
      <c r="L4" t="s">
        <v>344</v>
      </c>
      <c r="M4" t="s">
        <v>349</v>
      </c>
    </row>
    <row r="5" spans="1:13" x14ac:dyDescent="0.15">
      <c r="A5" t="s">
        <v>141</v>
      </c>
      <c r="B5" t="s">
        <v>350</v>
      </c>
      <c r="C5" t="s">
        <v>341</v>
      </c>
      <c r="D5" s="71">
        <v>4.6458333333333325E-3</v>
      </c>
      <c r="E5" t="s">
        <v>342</v>
      </c>
      <c r="F5" t="s">
        <v>343</v>
      </c>
      <c r="G5">
        <v>0.33091999999999999</v>
      </c>
      <c r="H5">
        <v>175.38759999999999</v>
      </c>
      <c r="I5">
        <v>0.45600775999999998</v>
      </c>
      <c r="J5">
        <v>530</v>
      </c>
      <c r="K5">
        <v>0</v>
      </c>
      <c r="L5" t="s">
        <v>344</v>
      </c>
      <c r="M5" t="s">
        <v>351</v>
      </c>
    </row>
    <row r="6" spans="1:13" x14ac:dyDescent="0.15">
      <c r="A6" t="s">
        <v>149</v>
      </c>
      <c r="B6" t="s">
        <v>352</v>
      </c>
      <c r="C6" t="s">
        <v>341</v>
      </c>
      <c r="D6" s="71">
        <v>3.3187500000000002E-2</v>
      </c>
      <c r="E6" t="s">
        <v>342</v>
      </c>
      <c r="F6" t="s">
        <v>343</v>
      </c>
      <c r="G6">
        <v>0.30773391999999999</v>
      </c>
      <c r="H6">
        <v>675.47595850000005</v>
      </c>
      <c r="I6">
        <v>1.75623749</v>
      </c>
      <c r="J6">
        <v>2195</v>
      </c>
      <c r="K6">
        <v>0</v>
      </c>
      <c r="L6" t="s">
        <v>344</v>
      </c>
      <c r="M6" t="s">
        <v>353</v>
      </c>
    </row>
    <row r="7" spans="1:13" x14ac:dyDescent="0.15">
      <c r="A7" t="s">
        <v>157</v>
      </c>
      <c r="B7" t="s">
        <v>354</v>
      </c>
      <c r="C7" t="s">
        <v>341</v>
      </c>
      <c r="D7" s="71">
        <v>8.6203703703703703E-3</v>
      </c>
      <c r="E7" t="s">
        <v>342</v>
      </c>
      <c r="F7" t="s">
        <v>343</v>
      </c>
      <c r="G7">
        <v>0.31603999999999999</v>
      </c>
      <c r="H7">
        <v>235.44980000000001</v>
      </c>
      <c r="I7">
        <v>0.61216948000000004</v>
      </c>
      <c r="J7">
        <v>745</v>
      </c>
      <c r="K7">
        <v>0</v>
      </c>
      <c r="L7" t="s">
        <v>344</v>
      </c>
      <c r="M7" t="s">
        <v>355</v>
      </c>
    </row>
    <row r="8" spans="1:13" x14ac:dyDescent="0.15">
      <c r="A8" t="s">
        <v>162</v>
      </c>
      <c r="B8" t="s">
        <v>356</v>
      </c>
      <c r="C8" t="s">
        <v>341</v>
      </c>
      <c r="D8" s="71">
        <v>1.0349537037037037E-2</v>
      </c>
      <c r="E8" t="s">
        <v>342</v>
      </c>
      <c r="F8" t="s">
        <v>343</v>
      </c>
      <c r="G8">
        <v>0.31624000000000002</v>
      </c>
      <c r="H8">
        <v>215.04320000000001</v>
      </c>
      <c r="I8">
        <v>0.55911232</v>
      </c>
      <c r="J8">
        <v>680</v>
      </c>
      <c r="K8">
        <v>0</v>
      </c>
      <c r="L8" t="s">
        <v>344</v>
      </c>
      <c r="M8" t="s">
        <v>357</v>
      </c>
    </row>
    <row r="9" spans="1:13" x14ac:dyDescent="0.15">
      <c r="A9" t="s">
        <v>171</v>
      </c>
      <c r="B9" t="s">
        <v>358</v>
      </c>
      <c r="C9" t="s">
        <v>341</v>
      </c>
      <c r="D9" s="71">
        <v>2.9686342592592594E-2</v>
      </c>
      <c r="E9" t="s">
        <v>342</v>
      </c>
      <c r="F9" t="s">
        <v>343</v>
      </c>
      <c r="G9">
        <v>0.36706496</v>
      </c>
      <c r="H9">
        <v>256.94546889999998</v>
      </c>
      <c r="I9">
        <v>0.66805822000000004</v>
      </c>
      <c r="J9">
        <v>700</v>
      </c>
      <c r="K9">
        <v>0</v>
      </c>
      <c r="L9" t="s">
        <v>344</v>
      </c>
      <c r="M9" t="s">
        <v>359</v>
      </c>
    </row>
    <row r="10" spans="1:13" x14ac:dyDescent="0.15">
      <c r="A10" t="s">
        <v>179</v>
      </c>
      <c r="B10" t="s">
        <v>360</v>
      </c>
      <c r="C10" t="s">
        <v>341</v>
      </c>
      <c r="D10" s="71">
        <v>2.7754629629629626E-3</v>
      </c>
      <c r="E10" t="s">
        <v>342</v>
      </c>
      <c r="F10" t="s">
        <v>343</v>
      </c>
      <c r="G10">
        <v>0.36426905999999998</v>
      </c>
      <c r="H10">
        <v>1327.7607069999999</v>
      </c>
      <c r="I10">
        <v>3.4521778300000001</v>
      </c>
      <c r="J10">
        <v>3645</v>
      </c>
      <c r="K10">
        <v>0</v>
      </c>
      <c r="L10" t="s">
        <v>344</v>
      </c>
      <c r="M10" t="s">
        <v>361</v>
      </c>
    </row>
    <row r="11" spans="1:13" x14ac:dyDescent="0.15">
      <c r="A11" t="s">
        <v>187</v>
      </c>
      <c r="B11" t="s">
        <v>362</v>
      </c>
      <c r="C11" t="s">
        <v>341</v>
      </c>
      <c r="D11" s="71">
        <v>2.1307870370370369E-3</v>
      </c>
      <c r="E11" t="s">
        <v>342</v>
      </c>
      <c r="F11" t="s">
        <v>343</v>
      </c>
      <c r="G11">
        <v>0.41528174000000001</v>
      </c>
      <c r="H11">
        <v>1536.54242</v>
      </c>
      <c r="I11">
        <v>3.9950103000000001</v>
      </c>
      <c r="J11">
        <v>3700</v>
      </c>
      <c r="K11">
        <v>0</v>
      </c>
      <c r="L11" t="s">
        <v>344</v>
      </c>
      <c r="M11" t="s">
        <v>363</v>
      </c>
    </row>
    <row r="12" spans="1:13" x14ac:dyDescent="0.15">
      <c r="A12" t="s">
        <v>195</v>
      </c>
      <c r="B12" t="s">
        <v>364</v>
      </c>
      <c r="C12" t="s">
        <v>341</v>
      </c>
      <c r="D12" s="71">
        <v>1.3769675925925927E-2</v>
      </c>
      <c r="E12" t="s">
        <v>342</v>
      </c>
      <c r="F12" t="s">
        <v>343</v>
      </c>
      <c r="G12">
        <v>0.40534709000000002</v>
      </c>
      <c r="H12">
        <v>800.56050800000003</v>
      </c>
      <c r="I12">
        <v>2.0814573200000002</v>
      </c>
      <c r="J12">
        <v>1975</v>
      </c>
      <c r="K12">
        <v>0</v>
      </c>
      <c r="L12" t="s">
        <v>344</v>
      </c>
      <c r="M12" t="s">
        <v>365</v>
      </c>
    </row>
    <row r="13" spans="1:13" x14ac:dyDescent="0.15">
      <c r="A13" t="s">
        <v>201</v>
      </c>
      <c r="B13" t="s">
        <v>366</v>
      </c>
      <c r="C13" t="s">
        <v>341</v>
      </c>
      <c r="D13" s="71">
        <v>2.6589120370370371E-2</v>
      </c>
      <c r="E13" t="s">
        <v>342</v>
      </c>
      <c r="F13" t="s">
        <v>343</v>
      </c>
      <c r="G13">
        <v>0.42066999999999999</v>
      </c>
      <c r="H13">
        <v>98.85745</v>
      </c>
      <c r="I13">
        <v>0.25702936999999998</v>
      </c>
      <c r="J13">
        <v>235</v>
      </c>
      <c r="K13">
        <v>0</v>
      </c>
      <c r="L13" t="s">
        <v>344</v>
      </c>
      <c r="M13" t="s">
        <v>367</v>
      </c>
    </row>
    <row r="14" spans="1:13" x14ac:dyDescent="0.15">
      <c r="A14" t="s">
        <v>209</v>
      </c>
      <c r="B14" t="s">
        <v>368</v>
      </c>
      <c r="C14" t="s">
        <v>341</v>
      </c>
      <c r="D14" s="71">
        <v>3.1121527777777779E-2</v>
      </c>
      <c r="E14" t="s">
        <v>342</v>
      </c>
      <c r="F14" t="s">
        <v>343</v>
      </c>
      <c r="G14">
        <v>0.37675999999999998</v>
      </c>
      <c r="H14">
        <v>860.89660000000003</v>
      </c>
      <c r="I14">
        <v>2.23833116</v>
      </c>
      <c r="J14">
        <v>2285</v>
      </c>
      <c r="K14">
        <v>0</v>
      </c>
      <c r="L14" t="s">
        <v>344</v>
      </c>
      <c r="M14" t="s">
        <v>369</v>
      </c>
    </row>
    <row r="15" spans="1:13" x14ac:dyDescent="0.15">
      <c r="A15" t="s">
        <v>215</v>
      </c>
      <c r="B15" t="s">
        <v>370</v>
      </c>
      <c r="C15" t="s">
        <v>341</v>
      </c>
      <c r="D15" s="71">
        <v>1.565625E-2</v>
      </c>
      <c r="E15" t="s">
        <v>342</v>
      </c>
      <c r="F15" t="s">
        <v>343</v>
      </c>
      <c r="G15">
        <v>0.37640543999999998</v>
      </c>
      <c r="H15">
        <v>250.30961859999999</v>
      </c>
      <c r="I15">
        <v>0.65080499999999997</v>
      </c>
      <c r="J15">
        <v>665</v>
      </c>
      <c r="K15">
        <v>0</v>
      </c>
      <c r="L15" t="s">
        <v>344</v>
      </c>
      <c r="M15" t="s">
        <v>371</v>
      </c>
    </row>
    <row r="16" spans="1:13" x14ac:dyDescent="0.15">
      <c r="A16" t="s">
        <v>223</v>
      </c>
      <c r="B16" t="s">
        <v>372</v>
      </c>
      <c r="C16" t="s">
        <v>341</v>
      </c>
      <c r="D16" s="71">
        <v>1.9630787037037037E-2</v>
      </c>
      <c r="E16" t="s">
        <v>342</v>
      </c>
      <c r="F16" t="s">
        <v>343</v>
      </c>
      <c r="G16">
        <v>0.36369036999999999</v>
      </c>
      <c r="H16">
        <v>2764.0467979999999</v>
      </c>
      <c r="I16">
        <v>7.1865216700000003</v>
      </c>
      <c r="J16">
        <v>7600</v>
      </c>
      <c r="K16">
        <v>0</v>
      </c>
      <c r="L16" t="s">
        <v>344</v>
      </c>
      <c r="M16" t="s">
        <v>373</v>
      </c>
    </row>
    <row r="17" spans="1:13" x14ac:dyDescent="0.15">
      <c r="A17" t="s">
        <v>229</v>
      </c>
      <c r="B17" t="s">
        <v>374</v>
      </c>
      <c r="C17" t="s">
        <v>341</v>
      </c>
      <c r="D17" s="71">
        <v>3.367708333333333E-2</v>
      </c>
      <c r="E17" t="s">
        <v>342</v>
      </c>
      <c r="F17" t="s">
        <v>343</v>
      </c>
      <c r="G17">
        <v>0.36873475999999999</v>
      </c>
      <c r="H17">
        <v>1707.2419190000001</v>
      </c>
      <c r="I17">
        <v>4.4388289900000002</v>
      </c>
      <c r="J17">
        <v>4630</v>
      </c>
      <c r="K17">
        <v>0</v>
      </c>
      <c r="L17" t="s">
        <v>344</v>
      </c>
      <c r="M17" t="s">
        <v>375</v>
      </c>
    </row>
    <row r="18" spans="1:13" x14ac:dyDescent="0.15">
      <c r="A18" t="s">
        <v>237</v>
      </c>
      <c r="B18" t="s">
        <v>376</v>
      </c>
      <c r="C18" t="s">
        <v>341</v>
      </c>
      <c r="D18" s="71">
        <v>4.0708333333333332E-2</v>
      </c>
      <c r="E18" t="s">
        <v>342</v>
      </c>
      <c r="F18" t="s">
        <v>343</v>
      </c>
      <c r="G18">
        <v>0.34483454000000002</v>
      </c>
      <c r="H18">
        <v>1344.8547140000001</v>
      </c>
      <c r="I18">
        <v>3.4966222500000002</v>
      </c>
      <c r="J18">
        <v>3900</v>
      </c>
      <c r="K18">
        <v>0</v>
      </c>
      <c r="L18" t="s">
        <v>344</v>
      </c>
      <c r="M18" t="s">
        <v>377</v>
      </c>
    </row>
    <row r="19" spans="1:13" x14ac:dyDescent="0.15">
      <c r="A19" t="s">
        <v>245</v>
      </c>
      <c r="B19" t="s">
        <v>378</v>
      </c>
      <c r="C19" t="s">
        <v>341</v>
      </c>
      <c r="D19" s="71">
        <v>1.1284722222222223E-3</v>
      </c>
      <c r="E19" t="s">
        <v>342</v>
      </c>
      <c r="F19" t="s">
        <v>343</v>
      </c>
      <c r="G19">
        <v>0.34325733000000003</v>
      </c>
      <c r="H19">
        <v>384.45507520000001</v>
      </c>
      <c r="I19">
        <v>0.99958320000000001</v>
      </c>
      <c r="J19">
        <v>1120.02</v>
      </c>
      <c r="K19">
        <v>0</v>
      </c>
      <c r="L19" t="s">
        <v>344</v>
      </c>
      <c r="M19" t="s">
        <v>379</v>
      </c>
    </row>
    <row r="20" spans="1:13" x14ac:dyDescent="0.15">
      <c r="A20" t="s">
        <v>253</v>
      </c>
      <c r="B20" t="s">
        <v>380</v>
      </c>
      <c r="C20" t="s">
        <v>341</v>
      </c>
      <c r="D20" s="71">
        <v>1.4759259259259258E-2</v>
      </c>
      <c r="E20" t="s">
        <v>342</v>
      </c>
      <c r="F20" t="s">
        <v>343</v>
      </c>
      <c r="G20">
        <v>0.36946688999999999</v>
      </c>
      <c r="H20">
        <v>738.93378810000002</v>
      </c>
      <c r="I20">
        <v>1.9212278599999999</v>
      </c>
      <c r="J20">
        <v>2000</v>
      </c>
      <c r="K20">
        <v>0</v>
      </c>
      <c r="L20" t="s">
        <v>344</v>
      </c>
      <c r="M20" t="s">
        <v>381</v>
      </c>
    </row>
    <row r="21" spans="1:13" x14ac:dyDescent="0.15">
      <c r="A21" t="s">
        <v>261</v>
      </c>
      <c r="B21" t="s">
        <v>382</v>
      </c>
      <c r="C21" t="s">
        <v>341</v>
      </c>
      <c r="D21" s="71">
        <v>1.651388888888889E-2</v>
      </c>
      <c r="E21" t="s">
        <v>342</v>
      </c>
      <c r="F21" t="s">
        <v>343</v>
      </c>
      <c r="G21">
        <v>0.36729856</v>
      </c>
      <c r="H21">
        <v>2122.9856730000001</v>
      </c>
      <c r="I21">
        <v>5.5197627499999999</v>
      </c>
      <c r="J21">
        <v>5780</v>
      </c>
      <c r="K21">
        <v>0</v>
      </c>
      <c r="L21" t="s">
        <v>344</v>
      </c>
      <c r="M21" t="s">
        <v>383</v>
      </c>
    </row>
    <row r="22" spans="1:13" x14ac:dyDescent="0.15">
      <c r="A22" t="s">
        <v>269</v>
      </c>
      <c r="B22" t="s">
        <v>384</v>
      </c>
      <c r="C22" t="s">
        <v>341</v>
      </c>
      <c r="D22" s="71">
        <v>1.8783564814814812E-2</v>
      </c>
      <c r="E22" t="s">
        <v>342</v>
      </c>
      <c r="F22" t="s">
        <v>343</v>
      </c>
      <c r="G22">
        <v>0.36627570999999998</v>
      </c>
      <c r="H22">
        <v>500.03960560000002</v>
      </c>
      <c r="I22">
        <v>1.30010297</v>
      </c>
      <c r="J22">
        <v>1365.2</v>
      </c>
      <c r="K22">
        <v>0</v>
      </c>
      <c r="L22" t="s">
        <v>344</v>
      </c>
      <c r="M22" t="s">
        <v>385</v>
      </c>
    </row>
    <row r="23" spans="1:13" x14ac:dyDescent="0.15">
      <c r="A23" t="s">
        <v>275</v>
      </c>
      <c r="B23" t="s">
        <v>386</v>
      </c>
      <c r="C23" t="s">
        <v>341</v>
      </c>
      <c r="D23" s="71">
        <v>4.010416666666667E-2</v>
      </c>
      <c r="E23" t="s">
        <v>342</v>
      </c>
      <c r="F23" t="s">
        <v>343</v>
      </c>
      <c r="G23">
        <v>0.36518</v>
      </c>
      <c r="H23">
        <v>18.332035999999999</v>
      </c>
      <c r="I23">
        <v>4.7663289999999997E-2</v>
      </c>
      <c r="J23">
        <v>50.2</v>
      </c>
      <c r="K23">
        <v>0</v>
      </c>
      <c r="L23" t="s">
        <v>344</v>
      </c>
      <c r="M23" t="s">
        <v>387</v>
      </c>
    </row>
    <row r="24" spans="1:13" x14ac:dyDescent="0.15">
      <c r="A24" t="s">
        <v>283</v>
      </c>
      <c r="B24" t="s">
        <v>388</v>
      </c>
      <c r="C24" t="s">
        <v>341</v>
      </c>
      <c r="D24" s="71">
        <v>3.6902777777777777E-2</v>
      </c>
      <c r="E24" t="s">
        <v>342</v>
      </c>
      <c r="F24" t="s">
        <v>343</v>
      </c>
      <c r="G24">
        <v>0.37498967</v>
      </c>
      <c r="H24">
        <v>600.05846499999996</v>
      </c>
      <c r="I24">
        <v>1.5601520099999999</v>
      </c>
      <c r="J24">
        <v>1600.2</v>
      </c>
      <c r="K24">
        <v>0</v>
      </c>
      <c r="L24" t="s">
        <v>344</v>
      </c>
      <c r="M24" t="s">
        <v>389</v>
      </c>
    </row>
    <row r="25" spans="1:13" x14ac:dyDescent="0.15">
      <c r="A25" t="s">
        <v>291</v>
      </c>
      <c r="B25" t="s">
        <v>390</v>
      </c>
      <c r="C25" t="s">
        <v>341</v>
      </c>
      <c r="D25" s="71">
        <v>1.7478009259259259E-2</v>
      </c>
      <c r="E25" t="s">
        <v>342</v>
      </c>
      <c r="F25" t="s">
        <v>343</v>
      </c>
      <c r="G25">
        <v>0.42087564</v>
      </c>
      <c r="H25">
        <v>726.09465230000001</v>
      </c>
      <c r="I25">
        <v>1.8878461</v>
      </c>
      <c r="J25">
        <v>1725.2</v>
      </c>
      <c r="K25">
        <v>0</v>
      </c>
      <c r="L25" t="s">
        <v>344</v>
      </c>
      <c r="M25" t="s">
        <v>391</v>
      </c>
    </row>
    <row r="26" spans="1:13" x14ac:dyDescent="0.15">
      <c r="A26" t="s">
        <v>310</v>
      </c>
      <c r="B26" t="s">
        <v>392</v>
      </c>
      <c r="C26" t="s">
        <v>341</v>
      </c>
      <c r="D26" s="71">
        <v>3.5214120370370368E-2</v>
      </c>
      <c r="E26" t="s">
        <v>342</v>
      </c>
      <c r="F26" t="s">
        <v>343</v>
      </c>
      <c r="G26">
        <v>0.39764637000000003</v>
      </c>
      <c r="H26">
        <v>1501.1150339999999</v>
      </c>
      <c r="I26">
        <v>3.90289909</v>
      </c>
      <c r="J26">
        <v>3775</v>
      </c>
      <c r="K26">
        <v>0</v>
      </c>
      <c r="L26" t="s">
        <v>344</v>
      </c>
      <c r="M26" t="s">
        <v>393</v>
      </c>
    </row>
    <row r="27" spans="1:13" x14ac:dyDescent="0.15">
      <c r="A27" t="s">
        <v>323</v>
      </c>
      <c r="B27" t="s">
        <v>394</v>
      </c>
      <c r="C27" t="s">
        <v>341</v>
      </c>
      <c r="D27" s="71">
        <v>3.72337962962963E-2</v>
      </c>
      <c r="E27" t="s">
        <v>342</v>
      </c>
      <c r="F27" t="s">
        <v>343</v>
      </c>
      <c r="G27">
        <v>0.38736454999999997</v>
      </c>
      <c r="H27">
        <v>2370.7485109999998</v>
      </c>
      <c r="I27">
        <v>6.1639461300000002</v>
      </c>
      <c r="J27">
        <v>6120.2</v>
      </c>
      <c r="K27">
        <v>0</v>
      </c>
      <c r="L27" t="s">
        <v>344</v>
      </c>
      <c r="M27" t="s">
        <v>395</v>
      </c>
    </row>
    <row r="28" spans="1:13" x14ac:dyDescent="0.15">
      <c r="A28" t="s">
        <v>332</v>
      </c>
      <c r="B28" t="s">
        <v>396</v>
      </c>
      <c r="C28" t="s">
        <v>341</v>
      </c>
      <c r="D28" s="71">
        <v>1.8910879629629628E-2</v>
      </c>
      <c r="E28" t="s">
        <v>342</v>
      </c>
      <c r="F28" t="s">
        <v>343</v>
      </c>
      <c r="G28">
        <v>0.38812838999999999</v>
      </c>
      <c r="H28">
        <v>310.58033490000003</v>
      </c>
      <c r="I28">
        <v>0.80750887000000005</v>
      </c>
      <c r="J28">
        <v>800.2</v>
      </c>
      <c r="K28">
        <v>0</v>
      </c>
      <c r="L28" t="s">
        <v>344</v>
      </c>
      <c r="M28" t="s">
        <v>397</v>
      </c>
    </row>
    <row r="179" spans="11:11" x14ac:dyDescent="0.15">
      <c r="K179" t="s">
        <v>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B69E-D751-4C8C-B234-59A82E2EB3DB}">
  <dimension ref="A1:B5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3" x14ac:dyDescent="0.15"/>
  <cols>
    <col min="1" max="1" width="10.5" bestFit="1" customWidth="1"/>
    <col min="2" max="2" width="15.5" bestFit="1" customWidth="1"/>
  </cols>
  <sheetData>
    <row r="1" spans="1:2" x14ac:dyDescent="0.15">
      <c r="A1" t="s">
        <v>82</v>
      </c>
      <c r="B1" t="s">
        <v>83</v>
      </c>
    </row>
    <row r="2" spans="1:2" x14ac:dyDescent="0.15">
      <c r="A2">
        <v>518294827</v>
      </c>
      <c r="B2" t="s">
        <v>58</v>
      </c>
    </row>
    <row r="3" spans="1:2" x14ac:dyDescent="0.15">
      <c r="A3">
        <v>547786843</v>
      </c>
      <c r="B3" t="s">
        <v>29</v>
      </c>
    </row>
    <row r="4" spans="1:2" x14ac:dyDescent="0.15">
      <c r="A4">
        <v>442734179</v>
      </c>
      <c r="B4" t="s">
        <v>35</v>
      </c>
    </row>
    <row r="5" spans="1:2" x14ac:dyDescent="0.15">
      <c r="A5">
        <v>373650723</v>
      </c>
      <c r="B5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FA06F7E688644BB0D4097FABAAE2E" ma:contentTypeVersion="13" ma:contentTypeDescription="Create a new document." ma:contentTypeScope="" ma:versionID="8a3788c18029dbfb78286f6f77ec3ef6">
  <xsd:schema xmlns:xsd="http://www.w3.org/2001/XMLSchema" xmlns:xs="http://www.w3.org/2001/XMLSchema" xmlns:p="http://schemas.microsoft.com/office/2006/metadata/properties" xmlns:ns3="3bcfd645-6885-4890-b9d8-0b6bdb099559" xmlns:ns4="faa4f844-78cb-46b1-b60b-ecc9c59646d0" targetNamespace="http://schemas.microsoft.com/office/2006/metadata/properties" ma:root="true" ma:fieldsID="896c825789bc0f6f6b83221561b331d6" ns3:_="" ns4:_="">
    <xsd:import namespace="3bcfd645-6885-4890-b9d8-0b6bdb099559"/>
    <xsd:import namespace="faa4f844-78cb-46b1-b60b-ecc9c59646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fd645-6885-4890-b9d8-0b6bdb0995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4f844-78cb-46b1-b60b-ecc9c59646d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CBBCC1-C512-47C3-BDA4-1513C48D8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cfd645-6885-4890-b9d8-0b6bdb099559"/>
    <ds:schemaRef ds:uri="faa4f844-78cb-46b1-b60b-ecc9c59646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80C77D-7C7D-4932-81E0-06579F8365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6978C2-D997-425E-B06A-F23F2DD18B6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3bcfd645-6885-4890-b9d8-0b6bdb099559"/>
    <ds:schemaRef ds:uri="http://www.w3.org/XML/1998/namespace"/>
    <ds:schemaRef ds:uri="faa4f844-78cb-46b1-b60b-ecc9c59646d0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Kraken</vt:lpstr>
      <vt:lpstr>Kraken Ledger</vt:lpstr>
      <vt:lpstr>Kraken Trades</vt:lpstr>
      <vt:lpstr>DEST TAGs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Harris, Roy   EXT</dc:creator>
  <cp:keywords/>
  <dc:description/>
  <cp:lastModifiedBy>Roy Harris</cp:lastModifiedBy>
  <cp:revision>1</cp:revision>
  <dcterms:created xsi:type="dcterms:W3CDTF">2018-09-23T16:08:40Z</dcterms:created>
  <dcterms:modified xsi:type="dcterms:W3CDTF">2026-01-17T16:59:56Z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0x010100FF8FA06F7E688644BB0D4097FABAAE2E</vt:lpwstr>
  </property>
</Properties>
</file>